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Mask" sheetId="1" state="visible" r:id="rId3"/>
    <sheet name="Customer Inputs" sheetId="2" state="visible" r:id="rId4"/>
    <sheet name="P&amp;L" sheetId="3" state="visible" r:id="rId5"/>
    <sheet name="KPI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<sst xmlns="http://schemas.openxmlformats.org/spreadsheetml/2006/main" count="305" uniqueCount="199">
  <si>
    <t xml:space="preserve">SaaS Financial Model – Input Assumptions</t>
  </si>
  <si>
    <t xml:space="preserve">Driver / Assumption</t>
  </si>
  <si>
    <t xml:space="preserve">Unit</t>
  </si>
  <si>
    <t xml:space="preserve">Source</t>
  </si>
  <si>
    <t xml:space="preserve">Year 1</t>
  </si>
  <si>
    <t xml:space="preserve">Year 2</t>
  </si>
  <si>
    <t xml:space="preserve">YoY Change</t>
  </si>
  <si>
    <t xml:space="preserve">Notes</t>
  </si>
  <si>
    <t xml:space="preserve">── REVENUE DRIVERS ──</t>
  </si>
  <si>
    <t xml:space="preserve">Starting Customers</t>
  </si>
  <si>
    <t xml:space="preserve">#</t>
  </si>
  <si>
    <t xml:space="preserve">Assumption</t>
  </si>
  <si>
    <t xml:space="preserve">Seed customers at start of year</t>
  </si>
  <si>
    <t xml:space="preserve">New Customers Added</t>
  </si>
  <si>
    <t xml:space="preserve">Sales plan</t>
  </si>
  <si>
    <t xml:space="preserve">Net new logos signed</t>
  </si>
  <si>
    <t xml:space="preserve">Churned Customers</t>
  </si>
  <si>
    <t xml:space="preserve">Historical avg</t>
  </si>
  <si>
    <t xml:space="preserve">Customers lost during year</t>
  </si>
  <si>
    <t xml:space="preserve">Avg ARR per Customer (New)</t>
  </si>
  <si>
    <t xml:space="preserve">$</t>
  </si>
  <si>
    <t xml:space="preserve">Pricing model</t>
  </si>
  <si>
    <t xml:space="preserve">Annual contract value, new logos</t>
  </si>
  <si>
    <t xml:space="preserve">Avg ARR per Customer (Existing)</t>
  </si>
  <si>
    <t xml:space="preserve">Blended existing book</t>
  </si>
  <si>
    <t xml:space="preserve">Expansion MRR % of ARR</t>
  </si>
  <si>
    <t xml:space="preserve">%</t>
  </si>
  <si>
    <t xml:space="preserve">Historical</t>
  </si>
  <si>
    <t xml:space="preserve">Upsell &amp; cross-sell rate</t>
  </si>
  <si>
    <t xml:space="preserve">Gross Churn Rate (Revenue)</t>
  </si>
  <si>
    <t xml:space="preserve">% ARR lost from churn</t>
  </si>
  <si>
    <t xml:space="preserve">Net Revenue Retention</t>
  </si>
  <si>
    <t xml:space="preserve">Calculated</t>
  </si>
  <si>
    <t xml:space="preserve">NRR = 1 - Churn + Expansion</t>
  </si>
  <si>
    <t xml:space="preserve">── COGS ASSUMPTIONS ──</t>
  </si>
  <si>
    <t xml:space="preserve">Hosting / DevOps (% of Revenue)</t>
  </si>
  <si>
    <t xml:space="preserve">AWS invoices</t>
  </si>
  <si>
    <t xml:space="preserve">Infrastructure costs</t>
  </si>
  <si>
    <t xml:space="preserve">Technical Support Headcount</t>
  </si>
  <si>
    <t xml:space="preserve">Headcount plan</t>
  </si>
  <si>
    <t xml:space="preserve">FTEs in support</t>
  </si>
  <si>
    <t xml:space="preserve">Avg Support Staff Cost</t>
  </si>
  <si>
    <t xml:space="preserve">HR / comp bands</t>
  </si>
  <si>
    <t xml:space="preserve">Fully loaded annual cost</t>
  </si>
  <si>
    <t xml:space="preserve">Professional Services Margin</t>
  </si>
  <si>
    <t xml:space="preserve">P&amp;L history</t>
  </si>
  <si>
    <t xml:space="preserve">Gross margin on PS revenue</t>
  </si>
  <si>
    <t xml:space="preserve">── SALES &amp; MARKETING ──</t>
  </si>
  <si>
    <t xml:space="preserve">Sales Headcount (AEs)</t>
  </si>
  <si>
    <t xml:space="preserve">Account Executives</t>
  </si>
  <si>
    <t xml:space="preserve">Avg AE OTE</t>
  </si>
  <si>
    <t xml:space="preserve">Comp bands</t>
  </si>
  <si>
    <t xml:space="preserve">On-Target Earnings incl. base</t>
  </si>
  <si>
    <t xml:space="preserve">Sales Commission Rate</t>
  </si>
  <si>
    <t xml:space="preserve">Comp plan</t>
  </si>
  <si>
    <t xml:space="preserve">% of new bookings</t>
  </si>
  <si>
    <t xml:space="preserve">Marketing Spend</t>
  </si>
  <si>
    <t xml:space="preserve">Budget</t>
  </si>
  <si>
    <t xml:space="preserve">Demand gen + brand + events</t>
  </si>
  <si>
    <t xml:space="preserve">Lead-to-Customer Conv. Rate</t>
  </si>
  <si>
    <t xml:space="preserve">CRM</t>
  </si>
  <si>
    <t xml:space="preserve">Leads converted to new logos</t>
  </si>
  <si>
    <t xml:space="preserve">── R&amp;D ──</t>
  </si>
  <si>
    <t xml:space="preserve">R&amp;D Headcount (Engineers)</t>
  </si>
  <si>
    <t xml:space="preserve">Engineering FTEs</t>
  </si>
  <si>
    <t xml:space="preserve">Avg Engineer Cost</t>
  </si>
  <si>
    <t xml:space="preserve">R&amp;D Other Costs</t>
  </si>
  <si>
    <t xml:space="preserve">Tools, testing, IP</t>
  </si>
  <si>
    <t xml:space="preserve">── G&amp;A ──</t>
  </si>
  <si>
    <t xml:space="preserve">G&amp;A Headcount</t>
  </si>
  <si>
    <t xml:space="preserve">Finance, HR, Legal, Exec</t>
  </si>
  <si>
    <t xml:space="preserve">Avg G&amp;A Staff Cost</t>
  </si>
  <si>
    <t xml:space="preserve">Legal &amp; Accounting Fees</t>
  </si>
  <si>
    <t xml:space="preserve">Invoices</t>
  </si>
  <si>
    <t xml:space="preserve">External counsel &amp; audit</t>
  </si>
  <si>
    <t xml:space="preserve">Office / Facilities</t>
  </si>
  <si>
    <t xml:space="preserve">Lease</t>
  </si>
  <si>
    <t xml:space="preserve">Rent + utilities + tools</t>
  </si>
  <si>
    <t xml:space="preserve">── BALANCE SHEET / CASH ──</t>
  </si>
  <si>
    <t xml:space="preserve">DSO (Days Sales Outstanding)</t>
  </si>
  <si>
    <t xml:space="preserve">days</t>
  </si>
  <si>
    <t xml:space="preserve">AR aging</t>
  </si>
  <si>
    <t xml:space="preserve">Collection efficiency</t>
  </si>
  <si>
    <t xml:space="preserve">CapEx (% of Revenue)</t>
  </si>
  <si>
    <t xml:space="preserve">Hardware, leasehold improv.</t>
  </si>
  <si>
    <t xml:space="preserve">Tax Rate</t>
  </si>
  <si>
    <t xml:space="preserve">Tax advisor</t>
  </si>
  <si>
    <t xml:space="preserve">Effective corporate tax rate</t>
  </si>
  <si>
    <t xml:space="preserve">Color Legend:  🔵 Blue = Hardcoded Input  |  ⚫ Black = Formula  |  🟢 Green = Cross-sheet link  |  🟡 Yellow BG = Key driver to review</t>
  </si>
  <si>
    <t xml:space="preserve">Customer-Level Driver Input – Year 1 &amp; Year 2</t>
  </si>
  <si>
    <t xml:space="preserve">Customer / Segment</t>
  </si>
  <si>
    <t xml:space="preserve">Industry</t>
  </si>
  <si>
    <t xml:space="preserve">ARR Y1→Y2 Growth</t>
  </si>
  <si>
    <t xml:space="preserve">Churn Risk</t>
  </si>
  <si>
    <t xml:space="preserve">ARR ($)</t>
  </si>
  <si>
    <t xml:space="preserve">Expansion ($)</t>
  </si>
  <si>
    <t xml:space="preserve">Churn ($)</t>
  </si>
  <si>
    <t xml:space="preserve">NRR (%)</t>
  </si>
  <si>
    <t xml:space="preserve">Acme Corp</t>
  </si>
  <si>
    <t xml:space="preserve">Manufacturing</t>
  </si>
  <si>
    <t xml:space="preserve">Low</t>
  </si>
  <si>
    <t xml:space="preserve">BrightTech Inc.</t>
  </si>
  <si>
    <t xml:space="preserve">Technology</t>
  </si>
  <si>
    <t xml:space="preserve">CloudBase GmbH</t>
  </si>
  <si>
    <t xml:space="preserve">SaaS / ISV</t>
  </si>
  <si>
    <t xml:space="preserve">DataFlow AG</t>
  </si>
  <si>
    <t xml:space="preserve">Finance</t>
  </si>
  <si>
    <t xml:space="preserve">High</t>
  </si>
  <si>
    <t xml:space="preserve">EcoSystems Ltd.</t>
  </si>
  <si>
    <t xml:space="preserve">Energy</t>
  </si>
  <si>
    <t xml:space="preserve">FutureMed Inc.</t>
  </si>
  <si>
    <t xml:space="preserve">Healthcare</t>
  </si>
  <si>
    <t xml:space="preserve">GrowthOps LLC</t>
  </si>
  <si>
    <t xml:space="preserve">Consulting</t>
  </si>
  <si>
    <t xml:space="preserve">HubSpire SA</t>
  </si>
  <si>
    <t xml:space="preserve">Marketing Tech</t>
  </si>
  <si>
    <t xml:space="preserve">IntelliCore BV</t>
  </si>
  <si>
    <t xml:space="preserve">JetStream Retail</t>
  </si>
  <si>
    <t xml:space="preserve">Retail</t>
  </si>
  <si>
    <t xml:space="preserve">KeyMetrics GmbH</t>
  </si>
  <si>
    <t xml:space="preserve">Analytics</t>
  </si>
  <si>
    <t xml:space="preserve">LumaCloud Inc.</t>
  </si>
  <si>
    <t xml:space="preserve">MediSync AG</t>
  </si>
  <si>
    <t xml:space="preserve">NextScale Ltd.</t>
  </si>
  <si>
    <t xml:space="preserve">Logistics</t>
  </si>
  <si>
    <t xml:space="preserve">OmniRetail Corp</t>
  </si>
  <si>
    <t xml:space="preserve">ProBuild LLC</t>
  </si>
  <si>
    <t xml:space="preserve">Construction</t>
  </si>
  <si>
    <t xml:space="preserve">QuantumAI SA</t>
  </si>
  <si>
    <t xml:space="preserve">AI / ML</t>
  </si>
  <si>
    <t xml:space="preserve">RapidShip BV</t>
  </si>
  <si>
    <t xml:space="preserve">SafeVault Inc.</t>
  </si>
  <si>
    <t xml:space="preserve">Cybersecurity</t>
  </si>
  <si>
    <t xml:space="preserve">TechBridge GmbH</t>
  </si>
  <si>
    <t xml:space="preserve">TOTAL</t>
  </si>
  <si>
    <t xml:space="preserve">SaaS Income Statement (P&amp;L) – Year 1 &amp; Year 2</t>
  </si>
  <si>
    <t xml:space="preserve">Line Item</t>
  </si>
  <si>
    <t xml:space="preserve">% Rev Y1</t>
  </si>
  <si>
    <t xml:space="preserve">% Rev Y2</t>
  </si>
  <si>
    <t xml:space="preserve">REVENUE</t>
  </si>
  <si>
    <t xml:space="preserve">Subscription Revenue (ARR)</t>
  </si>
  <si>
    <t xml:space="preserve">Expansion MRR Revenue</t>
  </si>
  <si>
    <t xml:space="preserve">Professional Services Revenue</t>
  </si>
  <si>
    <t xml:space="preserve">TOTAL REVENUE</t>
  </si>
  <si>
    <t xml:space="preserve">COST OF GOODS SOLD (COGS)</t>
  </si>
  <si>
    <t xml:space="preserve">Hosting / Infrastructure</t>
  </si>
  <si>
    <t xml:space="preserve">Technical Support (Personnel)</t>
  </si>
  <si>
    <t xml:space="preserve">Professional Services COGS</t>
  </si>
  <si>
    <t xml:space="preserve">TOTAL COGS</t>
  </si>
  <si>
    <t xml:space="preserve">GROSS PROFIT</t>
  </si>
  <si>
    <t xml:space="preserve">OPERATING EXPENSES (OpEx)</t>
  </si>
  <si>
    <t xml:space="preserve">Sales &amp; Marketing</t>
  </si>
  <si>
    <t xml:space="preserve">Research &amp; Development</t>
  </si>
  <si>
    <t xml:space="preserve">General &amp; Administrative</t>
  </si>
  <si>
    <t xml:space="preserve">TOTAL OPEX</t>
  </si>
  <si>
    <t xml:space="preserve">EBITDA</t>
  </si>
  <si>
    <t xml:space="preserve">Depreciation &amp; Amortization</t>
  </si>
  <si>
    <t xml:space="preserve">EBIT (Operating Income)</t>
  </si>
  <si>
    <t xml:space="preserve">Interest &amp; Other (Income)/Expense</t>
  </si>
  <si>
    <t xml:space="preserve">50000</t>
  </si>
  <si>
    <t xml:space="preserve">40000</t>
  </si>
  <si>
    <t xml:space="preserve">EBT (Pre-Tax Income)</t>
  </si>
  <si>
    <t xml:space="preserve">Income Tax (21%)</t>
  </si>
  <si>
    <t xml:space="preserve">NET INCOME / (LOSS)</t>
  </si>
  <si>
    <t xml:space="preserve">SaaS KPI Dashboard – Year 1 vs Year 2</t>
  </si>
  <si>
    <t xml:space="preserve">Total ARR ($)</t>
  </si>
  <si>
    <t xml:space="preserve">Revenue Growth</t>
  </si>
  <si>
    <t xml:space="preserve">Gross Margin %</t>
  </si>
  <si>
    <t xml:space="preserve">EBITDA Margin</t>
  </si>
  <si>
    <t xml:space="preserve">Benchmark: &gt;$1M target</t>
  </si>
  <si>
    <t xml:space="preserve">Benchmark: &gt;30% YoY</t>
  </si>
  <si>
    <t xml:space="preserve">Benchmark: 70-80%+</t>
  </si>
  <si>
    <t xml:space="preserve">Benchmark: &gt;10%</t>
  </si>
  <si>
    <t xml:space="preserve">"-"</t>
  </si>
  <si>
    <t xml:space="preserve">Gross Churn Rate</t>
  </si>
  <si>
    <t xml:space="preserve">CAC (Est.)</t>
  </si>
  <si>
    <t xml:space="preserve">LTV / CAC</t>
  </si>
  <si>
    <t xml:space="preserve">Benchmark: &gt;110%</t>
  </si>
  <si>
    <t xml:space="preserve">Benchmark: &lt;8%</t>
  </si>
  <si>
    <t xml:space="preserve">Benchmark: &lt;$6k target</t>
  </si>
  <si>
    <t xml:space="preserve">Benchmark: &gt;3x</t>
  </si>
  <si>
    <t xml:space="preserve">P&amp;L SUMMARY</t>
  </si>
  <si>
    <t xml:space="preserve">Metric</t>
  </si>
  <si>
    <t xml:space="preserve">Year 1 ($)</t>
  </si>
  <si>
    <t xml:space="preserve">% Rev</t>
  </si>
  <si>
    <t xml:space="preserve">Year 2 ($)</t>
  </si>
  <si>
    <t xml:space="preserve">YoY Δ</t>
  </si>
  <si>
    <t xml:space="preserve">Total Revenue</t>
  </si>
  <si>
    <t xml:space="preserve">Gross Profit</t>
  </si>
  <si>
    <t xml:space="preserve">Net Income/(Loss)</t>
  </si>
  <si>
    <t xml:space="preserve">ARR BRIDGE – Year 1 to Year 2</t>
  </si>
  <si>
    <t xml:space="preserve">ARR Component</t>
  </si>
  <si>
    <t xml:space="preserve">Amount ($)</t>
  </si>
  <si>
    <t xml:space="preserve">Beginning ARR (Y1)</t>
  </si>
  <si>
    <t xml:space="preserve">+ New Customer ARR</t>
  </si>
  <si>
    <t xml:space="preserve">+ Expansion ARR</t>
  </si>
  <si>
    <t xml:space="preserve">- Churned ARR</t>
  </si>
  <si>
    <t xml:space="preserve"> = Ending ARR (Y2 target)</t>
  </si>
  <si>
    <t xml:space="preserve">🟢 Green = Cross-sheet formula  |  🔵 Blue = Hardcoded input  |  All $ values in actual USD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</si>
</sst>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\x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8"/>
      <color rgb="FF555555"/>
      <name val="Arial"/>
      <family val="0"/>
      <charset val="1"/>
    </font>
    <font>
      <b val="true"/>
      <sz val="13"/>
      <color rgb="FF1A2B4A"/>
      <name val="Arial"/>
      <family val="0"/>
      <charset val="1"/>
    </font>
    <font>
      <b val="true"/>
      <sz val="10"/>
      <color rgb="FF2E5FA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b val="true"/>
      <sz val="10"/>
      <color rgb="FF3399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2E5FA3"/>
        <bgColor rgb="FF555555"/>
      </patternFill>
    </fill>
    <fill>
      <patternFill patternType="solid">
        <fgColor rgb="FFEBF3FF"/>
        <bgColor rgb="FFEEF2F7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EEF2F7"/>
      </patternFill>
    </fill>
    <fill>
      <patternFill patternType="solid">
        <fgColor rgb="FFD9DCE1"/>
        <bgColor rgb="FFD6E4F7"/>
      </patternFill>
    </fill>
    <fill>
      <patternFill patternType="solid">
        <fgColor rgb="FFD6E4F7"/>
        <bgColor rgb="FFD9DCE1"/>
      </patternFill>
    </fill>
    <fill>
      <patternFill patternType="solid">
        <fgColor rgb="FFEEF2F7"/>
        <bgColor rgb="FFEBF3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8A8"/>
      <rgbColor rgb="FFBFBFBF"/>
      <rgbColor rgb="FF808080"/>
      <rgbColor rgb="FF9999FF"/>
      <rgbColor rgb="FF993366"/>
      <rgbColor rgb="FFF5F7FA"/>
      <rgbColor rgb="FFEBF3FF"/>
      <rgbColor rgb="FF660066"/>
      <rgbColor rgb="FFFF8080"/>
      <rgbColor rgb="FF2E5FA3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D6E4F7"/>
      <rgbColor rgb="FFFFFF99"/>
      <rgbColor rgb="FF99CCFF"/>
      <rgbColor rgb="FFFF99CC"/>
      <rgbColor rgb="FFCC99FF"/>
      <rgbColor rgb="FFFFCC99"/>
      <rgbColor rgb="FF3399FF"/>
      <rgbColor rgb="FF33CCCC"/>
      <rgbColor rgb="FF99CC00"/>
      <rgbColor rgb="FFFFCC00"/>
      <rgbColor rgb="FFE8A000"/>
      <rgbColor rgb="FFFF6600"/>
      <rgbColor rgb="FF666666"/>
      <rgbColor rgb="FF969696"/>
      <rgbColor rgb="FF003366"/>
      <rgbColor rgb="FF339966"/>
      <rgbColor rgb="FF006600"/>
      <rgbColor rgb="FF333300"/>
      <rgbColor rgb="FF993300"/>
      <rgbColor rgb="FF993366"/>
      <rgbColor rgb="FF555555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6" min="3" style="1" width="14"/>
    <col collapsed="false" customWidth="true" hidden="false" outlineLevel="0" max="7" min="7" style="1" width="2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8" hidden="false" customHeight="true" outlineLevel="0" collapsed="false">
      <c r="A3" s="4" t="s">
        <v>8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9</v>
      </c>
      <c r="B4" s="6" t="s">
        <v>10</v>
      </c>
      <c r="C4" s="6" t="s">
        <v>11</v>
      </c>
      <c r="D4" s="7" t="n">
        <v>50</v>
      </c>
      <c r="E4" s="7" t="n">
        <v>60</v>
      </c>
      <c r="F4" s="8" t="n">
        <f aca="false">IFERROR((E4-D4)/ABS(D4),"-")</f>
        <v>0.2</v>
      </c>
      <c r="G4" s="5" t="s">
        <v>12</v>
      </c>
    </row>
    <row r="5" customFormat="false" ht="18" hidden="false" customHeight="true" outlineLevel="0" collapsed="false">
      <c r="A5" s="5" t="s">
        <v>13</v>
      </c>
      <c r="B5" s="6" t="s">
        <v>10</v>
      </c>
      <c r="C5" s="6" t="s">
        <v>14</v>
      </c>
      <c r="D5" s="7" t="n">
        <v>120</v>
      </c>
      <c r="E5" s="7" t="n">
        <v>180</v>
      </c>
      <c r="F5" s="8" t="n">
        <f aca="false">IFERROR((E5-D5)/ABS(D5),"-")</f>
        <v>0.5</v>
      </c>
      <c r="G5" s="5" t="s">
        <v>15</v>
      </c>
    </row>
    <row r="6" customFormat="false" ht="18" hidden="false" customHeight="true" outlineLevel="0" collapsed="false">
      <c r="A6" s="5" t="s">
        <v>16</v>
      </c>
      <c r="B6" s="6" t="s">
        <v>10</v>
      </c>
      <c r="C6" s="6" t="s">
        <v>17</v>
      </c>
      <c r="D6" s="7" t="n">
        <v>10</v>
      </c>
      <c r="E6" s="7" t="n">
        <v>15</v>
      </c>
      <c r="F6" s="8" t="n">
        <f aca="false">IFERROR((E6-D6)/ABS(D6),"-")</f>
        <v>0.5</v>
      </c>
      <c r="G6" s="5" t="s">
        <v>18</v>
      </c>
    </row>
    <row r="7" customFormat="false" ht="18" hidden="false" customHeight="true" outlineLevel="0" collapsed="false">
      <c r="A7" s="5" t="s">
        <v>19</v>
      </c>
      <c r="B7" s="6" t="s">
        <v>20</v>
      </c>
      <c r="C7" s="6" t="s">
        <v>21</v>
      </c>
      <c r="D7" s="7" t="n">
        <v>24000</v>
      </c>
      <c r="E7" s="7" t="n">
        <v>28000</v>
      </c>
      <c r="F7" s="8" t="n">
        <f aca="false">IFERROR((E7-D7)/ABS(D7),"-")</f>
        <v>0.166666666666667</v>
      </c>
      <c r="G7" s="5" t="s">
        <v>22</v>
      </c>
    </row>
    <row r="8" customFormat="false" ht="18" hidden="false" customHeight="true" outlineLevel="0" collapsed="false">
      <c r="A8" s="5" t="s">
        <v>23</v>
      </c>
      <c r="B8" s="6" t="s">
        <v>20</v>
      </c>
      <c r="C8" s="6" t="s">
        <v>21</v>
      </c>
      <c r="D8" s="7" t="n">
        <v>22000</v>
      </c>
      <c r="E8" s="7" t="n">
        <v>25000</v>
      </c>
      <c r="F8" s="8" t="n">
        <f aca="false">IFERROR((E8-D8)/ABS(D8),"-")</f>
        <v>0.136363636363636</v>
      </c>
      <c r="G8" s="5" t="s">
        <v>24</v>
      </c>
    </row>
    <row r="9" customFormat="false" ht="18" hidden="false" customHeight="true" outlineLevel="0" collapsed="false">
      <c r="A9" s="5" t="s">
        <v>25</v>
      </c>
      <c r="B9" s="6" t="s">
        <v>26</v>
      </c>
      <c r="C9" s="6" t="s">
        <v>27</v>
      </c>
      <c r="D9" s="9" t="n">
        <v>0.05</v>
      </c>
      <c r="E9" s="9" t="n">
        <v>0.07</v>
      </c>
      <c r="F9" s="8" t="n">
        <f aca="false">IFERROR((E9-D9)/ABS(D9),"-")</f>
        <v>0.4</v>
      </c>
      <c r="G9" s="5" t="s">
        <v>28</v>
      </c>
    </row>
    <row r="10" customFormat="false" ht="18" hidden="false" customHeight="true" outlineLevel="0" collapsed="false">
      <c r="A10" s="5" t="s">
        <v>29</v>
      </c>
      <c r="B10" s="6" t="s">
        <v>26</v>
      </c>
      <c r="C10" s="6" t="s">
        <v>27</v>
      </c>
      <c r="D10" s="9" t="n">
        <v>0.08</v>
      </c>
      <c r="E10" s="9" t="n">
        <v>0.07</v>
      </c>
      <c r="F10" s="8" t="n">
        <f aca="false">IFERROR((E10-D10)/ABS(D10),"-")</f>
        <v>-0.125</v>
      </c>
      <c r="G10" s="5" t="s">
        <v>30</v>
      </c>
    </row>
    <row r="11" customFormat="false" ht="18" hidden="false" customHeight="true" outlineLevel="0" collapsed="false">
      <c r="A11" s="5" t="s">
        <v>31</v>
      </c>
      <c r="B11" s="6" t="s">
        <v>26</v>
      </c>
      <c r="C11" s="6" t="s">
        <v>32</v>
      </c>
      <c r="D11" s="10" t="n">
        <f aca="false">1-D10+D9</f>
        <v>0.97</v>
      </c>
      <c r="E11" s="10" t="n">
        <f aca="false">1-E10+E9</f>
        <v>1</v>
      </c>
      <c r="F11" s="8" t="n">
        <f aca="false">IFERROR((E11-D11)/ABS(D11),"-")</f>
        <v>0.0309278350515463</v>
      </c>
      <c r="G11" s="5" t="s">
        <v>33</v>
      </c>
    </row>
    <row r="12" customFormat="false" ht="18" hidden="false" customHeight="true" outlineLevel="0" collapsed="false">
      <c r="A12" s="4" t="s">
        <v>34</v>
      </c>
      <c r="B12" s="4"/>
      <c r="C12" s="4"/>
      <c r="D12" s="4"/>
      <c r="E12" s="4"/>
      <c r="F12" s="4"/>
      <c r="G12" s="4"/>
    </row>
    <row r="13" customFormat="false" ht="18" hidden="false" customHeight="true" outlineLevel="0" collapsed="false">
      <c r="A13" s="5" t="s">
        <v>35</v>
      </c>
      <c r="B13" s="6" t="s">
        <v>26</v>
      </c>
      <c r="C13" s="6" t="s">
        <v>36</v>
      </c>
      <c r="D13" s="9" t="n">
        <v>0.08</v>
      </c>
      <c r="E13" s="9" t="n">
        <v>0.07</v>
      </c>
      <c r="F13" s="8" t="n">
        <f aca="false">IFERROR((E13-D13)/ABS(D13),"-")</f>
        <v>-0.125</v>
      </c>
      <c r="G13" s="5" t="s">
        <v>37</v>
      </c>
    </row>
    <row r="14" customFormat="false" ht="18" hidden="false" customHeight="true" outlineLevel="0" collapsed="false">
      <c r="A14" s="5" t="s">
        <v>38</v>
      </c>
      <c r="B14" s="6" t="s">
        <v>10</v>
      </c>
      <c r="C14" s="6" t="s">
        <v>39</v>
      </c>
      <c r="D14" s="7" t="n">
        <v>5</v>
      </c>
      <c r="E14" s="7" t="n">
        <v>8</v>
      </c>
      <c r="F14" s="8" t="n">
        <f aca="false">IFERROR((E14-D14)/ABS(D14),"-")</f>
        <v>0.6</v>
      </c>
      <c r="G14" s="5" t="s">
        <v>40</v>
      </c>
    </row>
    <row r="15" customFormat="false" ht="18" hidden="false" customHeight="true" outlineLevel="0" collapsed="false">
      <c r="A15" s="5" t="s">
        <v>41</v>
      </c>
      <c r="B15" s="6" t="s">
        <v>20</v>
      </c>
      <c r="C15" s="6" t="s">
        <v>42</v>
      </c>
      <c r="D15" s="7" t="n">
        <v>75000</v>
      </c>
      <c r="E15" s="7" t="n">
        <v>78000</v>
      </c>
      <c r="F15" s="8" t="n">
        <f aca="false">IFERROR((E15-D15)/ABS(D15),"-")</f>
        <v>0.04</v>
      </c>
      <c r="G15" s="5" t="s">
        <v>43</v>
      </c>
    </row>
    <row r="16" customFormat="false" ht="18" hidden="false" customHeight="true" outlineLevel="0" collapsed="false">
      <c r="A16" s="5" t="s">
        <v>44</v>
      </c>
      <c r="B16" s="6" t="s">
        <v>26</v>
      </c>
      <c r="C16" s="6" t="s">
        <v>45</v>
      </c>
      <c r="D16" s="9" t="n">
        <v>0.2</v>
      </c>
      <c r="E16" s="9" t="n">
        <v>0.25</v>
      </c>
      <c r="F16" s="8" t="n">
        <f aca="false">IFERROR((E16-D16)/ABS(D16),"-")</f>
        <v>0.25</v>
      </c>
      <c r="G16" s="5" t="s">
        <v>46</v>
      </c>
    </row>
    <row r="17" customFormat="false" ht="18" hidden="false" customHeight="true" outlineLevel="0" collapsed="false">
      <c r="A17" s="4" t="s">
        <v>47</v>
      </c>
      <c r="B17" s="4"/>
      <c r="C17" s="4"/>
      <c r="D17" s="4"/>
      <c r="E17" s="4"/>
      <c r="F17" s="4"/>
      <c r="G17" s="4"/>
    </row>
    <row r="18" customFormat="false" ht="18" hidden="false" customHeight="true" outlineLevel="0" collapsed="false">
      <c r="A18" s="5" t="s">
        <v>48</v>
      </c>
      <c r="B18" s="6" t="s">
        <v>10</v>
      </c>
      <c r="C18" s="6" t="s">
        <v>39</v>
      </c>
      <c r="D18" s="7" t="n">
        <v>8</v>
      </c>
      <c r="E18" s="7" t="n">
        <v>14</v>
      </c>
      <c r="F18" s="8" t="n">
        <f aca="false">IFERROR((E18-D18)/ABS(D18),"-")</f>
        <v>0.75</v>
      </c>
      <c r="G18" s="5" t="s">
        <v>49</v>
      </c>
    </row>
    <row r="19" customFormat="false" ht="18" hidden="false" customHeight="true" outlineLevel="0" collapsed="false">
      <c r="A19" s="5" t="s">
        <v>50</v>
      </c>
      <c r="B19" s="6" t="s">
        <v>20</v>
      </c>
      <c r="C19" s="6" t="s">
        <v>51</v>
      </c>
      <c r="D19" s="7" t="n">
        <v>140000</v>
      </c>
      <c r="E19" s="7" t="n">
        <v>145000</v>
      </c>
      <c r="F19" s="8" t="n">
        <f aca="false">IFERROR((E19-D19)/ABS(D19),"-")</f>
        <v>0.0357142857142857</v>
      </c>
      <c r="G19" s="5" t="s">
        <v>52</v>
      </c>
    </row>
    <row r="20" customFormat="false" ht="18" hidden="false" customHeight="true" outlineLevel="0" collapsed="false">
      <c r="A20" s="5" t="s">
        <v>53</v>
      </c>
      <c r="B20" s="6" t="s">
        <v>26</v>
      </c>
      <c r="C20" s="6" t="s">
        <v>54</v>
      </c>
      <c r="D20" s="9" t="n">
        <v>0.1</v>
      </c>
      <c r="E20" s="9" t="n">
        <v>0.1</v>
      </c>
      <c r="F20" s="8" t="n">
        <f aca="false">IFERROR((E20-D20)/ABS(D20),"-")</f>
        <v>0</v>
      </c>
      <c r="G20" s="5" t="s">
        <v>55</v>
      </c>
    </row>
    <row r="21" customFormat="false" ht="18" hidden="false" customHeight="true" outlineLevel="0" collapsed="false">
      <c r="A21" s="5" t="s">
        <v>56</v>
      </c>
      <c r="B21" s="6" t="s">
        <v>20</v>
      </c>
      <c r="C21" s="6" t="s">
        <v>57</v>
      </c>
      <c r="D21" s="7" t="n">
        <v>600000</v>
      </c>
      <c r="E21" s="7" t="n">
        <v>900000</v>
      </c>
      <c r="F21" s="8" t="n">
        <f aca="false">IFERROR((E21-D21)/ABS(D21),"-")</f>
        <v>0.5</v>
      </c>
      <c r="G21" s="5" t="s">
        <v>58</v>
      </c>
    </row>
    <row r="22" customFormat="false" ht="18" hidden="false" customHeight="true" outlineLevel="0" collapsed="false">
      <c r="A22" s="5" t="s">
        <v>59</v>
      </c>
      <c r="B22" s="6" t="s">
        <v>26</v>
      </c>
      <c r="C22" s="6" t="s">
        <v>60</v>
      </c>
      <c r="D22" s="9" t="n">
        <v>0.025</v>
      </c>
      <c r="E22" s="9" t="n">
        <v>0.03</v>
      </c>
      <c r="F22" s="8" t="n">
        <f aca="false">IFERROR((E22-D22)/ABS(D22),"-")</f>
        <v>0.2</v>
      </c>
      <c r="G22" s="5" t="s">
        <v>61</v>
      </c>
    </row>
    <row r="23" customFormat="false" ht="18" hidden="false" customHeight="true" outlineLevel="0" collapsed="false">
      <c r="A23" s="4" t="s">
        <v>62</v>
      </c>
      <c r="B23" s="4"/>
      <c r="C23" s="4"/>
      <c r="D23" s="4"/>
      <c r="E23" s="4"/>
      <c r="F23" s="4"/>
      <c r="G23" s="4"/>
    </row>
    <row r="24" customFormat="false" ht="18" hidden="false" customHeight="true" outlineLevel="0" collapsed="false">
      <c r="A24" s="5" t="s">
        <v>63</v>
      </c>
      <c r="B24" s="6" t="s">
        <v>10</v>
      </c>
      <c r="C24" s="6" t="s">
        <v>39</v>
      </c>
      <c r="D24" s="7" t="n">
        <v>12</v>
      </c>
      <c r="E24" s="7" t="n">
        <v>18</v>
      </c>
      <c r="F24" s="8" t="n">
        <f aca="false">IFERROR((E24-D24)/ABS(D24),"-")</f>
        <v>0.5</v>
      </c>
      <c r="G24" s="5" t="s">
        <v>64</v>
      </c>
    </row>
    <row r="25" customFormat="false" ht="18" hidden="false" customHeight="true" outlineLevel="0" collapsed="false">
      <c r="A25" s="5" t="s">
        <v>65</v>
      </c>
      <c r="B25" s="6" t="s">
        <v>20</v>
      </c>
      <c r="C25" s="6" t="s">
        <v>42</v>
      </c>
      <c r="D25" s="7" t="n">
        <v>130000</v>
      </c>
      <c r="E25" s="7" t="n">
        <v>135000</v>
      </c>
      <c r="F25" s="8" t="n">
        <f aca="false">IFERROR((E25-D25)/ABS(D25),"-")</f>
        <v>0.0384615384615385</v>
      </c>
      <c r="G25" s="5" t="s">
        <v>43</v>
      </c>
    </row>
    <row r="26" customFormat="false" ht="18" hidden="false" customHeight="true" outlineLevel="0" collapsed="false">
      <c r="A26" s="5" t="s">
        <v>66</v>
      </c>
      <c r="B26" s="6" t="s">
        <v>20</v>
      </c>
      <c r="C26" s="6" t="s">
        <v>57</v>
      </c>
      <c r="D26" s="7" t="n">
        <v>80000</v>
      </c>
      <c r="E26" s="7" t="n">
        <v>120000</v>
      </c>
      <c r="F26" s="8" t="n">
        <f aca="false">IFERROR((E26-D26)/ABS(D26),"-")</f>
        <v>0.5</v>
      </c>
      <c r="G26" s="5" t="s">
        <v>67</v>
      </c>
    </row>
    <row r="27" customFormat="false" ht="18" hidden="false" customHeight="true" outlineLevel="0" collapsed="false">
      <c r="A27" s="4" t="s">
        <v>68</v>
      </c>
      <c r="B27" s="4"/>
      <c r="C27" s="4"/>
      <c r="D27" s="4"/>
      <c r="E27" s="4"/>
      <c r="F27" s="4"/>
      <c r="G27" s="4"/>
    </row>
    <row r="28" customFormat="false" ht="18" hidden="false" customHeight="true" outlineLevel="0" collapsed="false">
      <c r="A28" s="5" t="s">
        <v>69</v>
      </c>
      <c r="B28" s="6" t="s">
        <v>10</v>
      </c>
      <c r="C28" s="6" t="s">
        <v>39</v>
      </c>
      <c r="D28" s="7" t="n">
        <v>4</v>
      </c>
      <c r="E28" s="7" t="n">
        <v>6</v>
      </c>
      <c r="F28" s="8" t="n">
        <f aca="false">IFERROR((E28-D28)/ABS(D28),"-")</f>
        <v>0.5</v>
      </c>
      <c r="G28" s="5" t="s">
        <v>70</v>
      </c>
    </row>
    <row r="29" customFormat="false" ht="18" hidden="false" customHeight="true" outlineLevel="0" collapsed="false">
      <c r="A29" s="5" t="s">
        <v>71</v>
      </c>
      <c r="B29" s="6" t="s">
        <v>20</v>
      </c>
      <c r="C29" s="6" t="s">
        <v>42</v>
      </c>
      <c r="D29" s="7" t="n">
        <v>110000</v>
      </c>
      <c r="E29" s="7" t="n">
        <v>115000</v>
      </c>
      <c r="F29" s="8" t="n">
        <f aca="false">IFERROR((E29-D29)/ABS(D29),"-")</f>
        <v>0.0454545454545455</v>
      </c>
      <c r="G29" s="5" t="s">
        <v>43</v>
      </c>
    </row>
    <row r="30" customFormat="false" ht="18" hidden="false" customHeight="true" outlineLevel="0" collapsed="false">
      <c r="A30" s="5" t="s">
        <v>72</v>
      </c>
      <c r="B30" s="6" t="s">
        <v>20</v>
      </c>
      <c r="C30" s="6" t="s">
        <v>73</v>
      </c>
      <c r="D30" s="7" t="n">
        <v>60000</v>
      </c>
      <c r="E30" s="7" t="n">
        <v>75000</v>
      </c>
      <c r="F30" s="8" t="n">
        <f aca="false">IFERROR((E30-D30)/ABS(D30),"-")</f>
        <v>0.25</v>
      </c>
      <c r="G30" s="5" t="s">
        <v>74</v>
      </c>
    </row>
    <row r="31" customFormat="false" ht="18" hidden="false" customHeight="true" outlineLevel="0" collapsed="false">
      <c r="A31" s="5" t="s">
        <v>75</v>
      </c>
      <c r="B31" s="6" t="s">
        <v>20</v>
      </c>
      <c r="C31" s="6" t="s">
        <v>76</v>
      </c>
      <c r="D31" s="7" t="n">
        <v>120000</v>
      </c>
      <c r="E31" s="7" t="n">
        <v>130000</v>
      </c>
      <c r="F31" s="8" t="n">
        <f aca="false">IFERROR((E31-D31)/ABS(D31),"-")</f>
        <v>0.0833333333333333</v>
      </c>
      <c r="G31" s="5" t="s">
        <v>77</v>
      </c>
    </row>
    <row r="32" customFormat="false" ht="18" hidden="false" customHeight="true" outlineLevel="0" collapsed="false">
      <c r="A32" s="4" t="s">
        <v>78</v>
      </c>
      <c r="B32" s="4"/>
      <c r="C32" s="4"/>
      <c r="D32" s="4"/>
      <c r="E32" s="4"/>
      <c r="F32" s="4"/>
      <c r="G32" s="4"/>
    </row>
    <row r="33" customFormat="false" ht="18" hidden="false" customHeight="true" outlineLevel="0" collapsed="false">
      <c r="A33" s="5" t="s">
        <v>79</v>
      </c>
      <c r="B33" s="6" t="s">
        <v>80</v>
      </c>
      <c r="C33" s="6" t="s">
        <v>81</v>
      </c>
      <c r="D33" s="7" t="n">
        <v>35</v>
      </c>
      <c r="E33" s="7" t="n">
        <v>30</v>
      </c>
      <c r="F33" s="8" t="n">
        <f aca="false">IFERROR((E33-D33)/ABS(D33),"-")</f>
        <v>-0.142857142857143</v>
      </c>
      <c r="G33" s="5" t="s">
        <v>82</v>
      </c>
    </row>
    <row r="34" customFormat="false" ht="18" hidden="false" customHeight="true" outlineLevel="0" collapsed="false">
      <c r="A34" s="5" t="s">
        <v>83</v>
      </c>
      <c r="B34" s="6" t="s">
        <v>26</v>
      </c>
      <c r="C34" s="6" t="s">
        <v>57</v>
      </c>
      <c r="D34" s="9" t="n">
        <v>0.02</v>
      </c>
      <c r="E34" s="9" t="n">
        <v>0.015</v>
      </c>
      <c r="F34" s="8" t="n">
        <f aca="false">IFERROR((E34-D34)/ABS(D34),"-")</f>
        <v>-0.25</v>
      </c>
      <c r="G34" s="5" t="s">
        <v>84</v>
      </c>
    </row>
    <row r="35" customFormat="false" ht="18" hidden="false" customHeight="true" outlineLevel="0" collapsed="false">
      <c r="A35" s="5" t="s">
        <v>85</v>
      </c>
      <c r="B35" s="6" t="s">
        <v>26</v>
      </c>
      <c r="C35" s="6" t="s">
        <v>86</v>
      </c>
      <c r="D35" s="9" t="n">
        <v>0.21</v>
      </c>
      <c r="E35" s="9" t="n">
        <v>0.21</v>
      </c>
      <c r="F35" s="8" t="n">
        <f aca="false">IFERROR((E35-D35)/ABS(D35),"-")</f>
        <v>0</v>
      </c>
      <c r="G35" s="5" t="s">
        <v>87</v>
      </c>
    </row>
    <row r="37" customFormat="false" ht="15" hidden="false" customHeight="true" outlineLevel="0" collapsed="false">
      <c r="A37" s="11" t="s">
        <v>88</v>
      </c>
      <c r="B37" s="11"/>
      <c r="C37" s="11"/>
      <c r="D37" s="11"/>
      <c r="E37" s="11"/>
      <c r="F37" s="11"/>
      <c r="G37" s="11"/>
    </row>
  </sheetData>
  <mergeCells count="8">
    <mergeCell ref="A1:G1"/>
    <mergeCell ref="A3:G3"/>
    <mergeCell ref="A12:G12"/>
    <mergeCell ref="A17:G17"/>
    <mergeCell ref="A23:G23"/>
    <mergeCell ref="A27:G27"/>
    <mergeCell ref="A32:G32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A8"/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12" min="3" style="1" width="14"/>
  </cols>
  <sheetData>
    <row r="1" customFormat="false" ht="30" hidden="false" customHeight="true" outlineLevel="0" collapsed="false">
      <c r="A1" s="2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12" t="s">
        <v>90</v>
      </c>
      <c r="B2" s="12" t="s">
        <v>91</v>
      </c>
      <c r="C2" s="13" t="s">
        <v>4</v>
      </c>
      <c r="D2" s="13"/>
      <c r="E2" s="13"/>
      <c r="F2" s="13"/>
      <c r="G2" s="13" t="s">
        <v>5</v>
      </c>
      <c r="H2" s="13"/>
      <c r="I2" s="13"/>
      <c r="J2" s="13"/>
      <c r="K2" s="12" t="s">
        <v>92</v>
      </c>
      <c r="L2" s="12" t="s">
        <v>93</v>
      </c>
    </row>
    <row r="3" customFormat="false" ht="19.5" hidden="false" customHeight="true" outlineLevel="0" collapsed="false">
      <c r="A3" s="12"/>
      <c r="B3" s="12"/>
      <c r="C3" s="14" t="s">
        <v>94</v>
      </c>
      <c r="D3" s="14" t="s">
        <v>95</v>
      </c>
      <c r="E3" s="14" t="s">
        <v>96</v>
      </c>
      <c r="F3" s="14" t="s">
        <v>97</v>
      </c>
      <c r="G3" s="14" t="s">
        <v>94</v>
      </c>
      <c r="H3" s="14" t="s">
        <v>95</v>
      </c>
      <c r="I3" s="14" t="s">
        <v>96</v>
      </c>
      <c r="J3" s="14" t="s">
        <v>97</v>
      </c>
      <c r="K3" s="12"/>
      <c r="L3" s="12"/>
    </row>
    <row r="4" customFormat="false" ht="16.5" hidden="false" customHeight="true" outlineLevel="0" collapsed="false">
      <c r="A4" s="15" t="s">
        <v>98</v>
      </c>
      <c r="B4" s="15" t="s">
        <v>99</v>
      </c>
      <c r="C4" s="16" t="n">
        <v>120000</v>
      </c>
      <c r="D4" s="16" t="n">
        <v>8000</v>
      </c>
      <c r="E4" s="16" t="n">
        <v>0</v>
      </c>
      <c r="F4" s="17" t="n">
        <v>0.2</v>
      </c>
      <c r="G4" s="16" t="n">
        <v>132000</v>
      </c>
      <c r="H4" s="16" t="n">
        <v>15000</v>
      </c>
      <c r="I4" s="16" t="n">
        <v>0</v>
      </c>
      <c r="J4" s="17" t="n">
        <v>0.25</v>
      </c>
      <c r="K4" s="18" t="n">
        <f aca="false">IFERROR((G4-C4)/ABS(C4),"-")</f>
        <v>0.1</v>
      </c>
      <c r="L4" s="19" t="s">
        <v>100</v>
      </c>
    </row>
    <row r="5" customFormat="false" ht="16.5" hidden="false" customHeight="true" outlineLevel="0" collapsed="false">
      <c r="A5" s="20" t="s">
        <v>101</v>
      </c>
      <c r="B5" s="20" t="s">
        <v>102</v>
      </c>
      <c r="C5" s="21" t="n">
        <v>84000</v>
      </c>
      <c r="D5" s="21" t="n">
        <v>6000</v>
      </c>
      <c r="E5" s="21" t="n">
        <v>0</v>
      </c>
      <c r="F5" s="22" t="n">
        <v>0.2</v>
      </c>
      <c r="G5" s="21" t="n">
        <v>96000</v>
      </c>
      <c r="H5" s="21" t="n">
        <v>8000</v>
      </c>
      <c r="I5" s="21" t="n">
        <v>0</v>
      </c>
      <c r="J5" s="22" t="n">
        <v>0.25</v>
      </c>
      <c r="K5" s="23" t="n">
        <f aca="false">IFERROR((G5-C5)/ABS(C5),"-")</f>
        <v>0.142857142857143</v>
      </c>
      <c r="L5" s="24" t="s">
        <v>100</v>
      </c>
    </row>
    <row r="6" customFormat="false" ht="16.5" hidden="false" customHeight="true" outlineLevel="0" collapsed="false">
      <c r="A6" s="15" t="s">
        <v>103</v>
      </c>
      <c r="B6" s="15" t="s">
        <v>104</v>
      </c>
      <c r="C6" s="16" t="n">
        <v>60000</v>
      </c>
      <c r="D6" s="16" t="n">
        <v>3000</v>
      </c>
      <c r="E6" s="16" t="n">
        <v>0</v>
      </c>
      <c r="F6" s="17" t="n">
        <v>0.2</v>
      </c>
      <c r="G6" s="16" t="n">
        <v>72000</v>
      </c>
      <c r="H6" s="16" t="n">
        <v>5000</v>
      </c>
      <c r="I6" s="16" t="n">
        <v>0</v>
      </c>
      <c r="J6" s="17" t="n">
        <v>0.25</v>
      </c>
      <c r="K6" s="18" t="n">
        <f aca="false">IFERROR((G6-C6)/ABS(C6),"-")</f>
        <v>0.2</v>
      </c>
      <c r="L6" s="19" t="s">
        <v>100</v>
      </c>
    </row>
    <row r="7" customFormat="false" ht="16.5" hidden="false" customHeight="true" outlineLevel="0" collapsed="false">
      <c r="A7" s="20" t="s">
        <v>105</v>
      </c>
      <c r="B7" s="20" t="s">
        <v>106</v>
      </c>
      <c r="C7" s="21" t="n">
        <v>48000</v>
      </c>
      <c r="D7" s="21" t="n">
        <v>2400</v>
      </c>
      <c r="E7" s="21" t="n">
        <v>0</v>
      </c>
      <c r="F7" s="22" t="n">
        <v>0.2</v>
      </c>
      <c r="G7" s="21" t="n">
        <v>54000</v>
      </c>
      <c r="H7" s="21" t="n">
        <v>3000</v>
      </c>
      <c r="I7" s="21" t="n">
        <v>4000</v>
      </c>
      <c r="J7" s="22" t="n">
        <v>0.15</v>
      </c>
      <c r="K7" s="23" t="n">
        <f aca="false">IFERROR((G7-C7)/ABS(C7),"-")</f>
        <v>0.125</v>
      </c>
      <c r="L7" s="25" t="s">
        <v>107</v>
      </c>
    </row>
    <row r="8" customFormat="false" ht="16.5" hidden="false" customHeight="true" outlineLevel="0" collapsed="false">
      <c r="A8" s="15" t="s">
        <v>108</v>
      </c>
      <c r="B8" s="15" t="s">
        <v>109</v>
      </c>
      <c r="C8" s="16" t="n">
        <v>36000</v>
      </c>
      <c r="D8" s="16" t="n">
        <v>1800</v>
      </c>
      <c r="E8" s="16" t="n">
        <v>3600</v>
      </c>
      <c r="F8" s="17" t="n">
        <v>0.15</v>
      </c>
      <c r="G8" s="16" t="n">
        <v>36000</v>
      </c>
      <c r="H8" s="16" t="n">
        <v>2000</v>
      </c>
      <c r="I8" s="16" t="n">
        <v>3000</v>
      </c>
      <c r="J8" s="17" t="n">
        <v>0.2</v>
      </c>
      <c r="K8" s="18" t="n">
        <f aca="false">IFERROR((G8-C8)/ABS(C8),"-")</f>
        <v>0</v>
      </c>
      <c r="L8" s="26" t="s">
        <v>107</v>
      </c>
    </row>
    <row r="9" customFormat="false" ht="16.5" hidden="false" customHeight="true" outlineLevel="0" collapsed="false">
      <c r="A9" s="20" t="s">
        <v>110</v>
      </c>
      <c r="B9" s="20" t="s">
        <v>111</v>
      </c>
      <c r="C9" s="21" t="n">
        <v>72000</v>
      </c>
      <c r="D9" s="21" t="n">
        <v>5000</v>
      </c>
      <c r="E9" s="21" t="n">
        <v>0</v>
      </c>
      <c r="F9" s="22" t="n">
        <v>0.2</v>
      </c>
      <c r="G9" s="21" t="n">
        <v>84000</v>
      </c>
      <c r="H9" s="21" t="n">
        <v>7000</v>
      </c>
      <c r="I9" s="21" t="n">
        <v>0</v>
      </c>
      <c r="J9" s="22" t="n">
        <v>0.25</v>
      </c>
      <c r="K9" s="23" t="n">
        <f aca="false">IFERROR((G9-C9)/ABS(C9),"-")</f>
        <v>0.166666666666667</v>
      </c>
      <c r="L9" s="24" t="s">
        <v>100</v>
      </c>
    </row>
    <row r="10" customFormat="false" ht="16.5" hidden="false" customHeight="true" outlineLevel="0" collapsed="false">
      <c r="A10" s="15" t="s">
        <v>112</v>
      </c>
      <c r="B10" s="15" t="s">
        <v>113</v>
      </c>
      <c r="C10" s="16" t="n">
        <v>24000</v>
      </c>
      <c r="D10" s="16" t="n">
        <v>1000</v>
      </c>
      <c r="E10" s="16" t="n">
        <v>2400</v>
      </c>
      <c r="F10" s="17" t="n">
        <v>0.15</v>
      </c>
      <c r="G10" s="16" t="n">
        <v>24000</v>
      </c>
      <c r="H10" s="16" t="n">
        <v>1200</v>
      </c>
      <c r="I10" s="16" t="n">
        <v>2400</v>
      </c>
      <c r="J10" s="17" t="n">
        <v>0.18</v>
      </c>
      <c r="K10" s="18" t="n">
        <f aca="false">IFERROR((G10-C10)/ABS(C10),"-")</f>
        <v>0</v>
      </c>
      <c r="L10" s="26" t="s">
        <v>107</v>
      </c>
    </row>
    <row r="11" customFormat="false" ht="16.5" hidden="false" customHeight="true" outlineLevel="0" collapsed="false">
      <c r="A11" s="20" t="s">
        <v>114</v>
      </c>
      <c r="B11" s="20" t="s">
        <v>115</v>
      </c>
      <c r="C11" s="21" t="n">
        <v>96000</v>
      </c>
      <c r="D11" s="21" t="n">
        <v>7000</v>
      </c>
      <c r="E11" s="21" t="n">
        <v>0</v>
      </c>
      <c r="F11" s="22" t="n">
        <v>0.2</v>
      </c>
      <c r="G11" s="21" t="n">
        <v>108000</v>
      </c>
      <c r="H11" s="21" t="n">
        <v>10000</v>
      </c>
      <c r="I11" s="21" t="n">
        <v>0</v>
      </c>
      <c r="J11" s="22" t="n">
        <v>0.25</v>
      </c>
      <c r="K11" s="23" t="n">
        <f aca="false">IFERROR((G11-C11)/ABS(C11),"-")</f>
        <v>0.125</v>
      </c>
      <c r="L11" s="24" t="s">
        <v>100</v>
      </c>
    </row>
    <row r="12" customFormat="false" ht="16.5" hidden="false" customHeight="true" outlineLevel="0" collapsed="false">
      <c r="A12" s="15" t="s">
        <v>116</v>
      </c>
      <c r="B12" s="15" t="s">
        <v>99</v>
      </c>
      <c r="C12" s="16" t="n">
        <v>60000</v>
      </c>
      <c r="D12" s="16" t="n">
        <v>4000</v>
      </c>
      <c r="E12" s="16" t="n">
        <v>0</v>
      </c>
      <c r="F12" s="17" t="n">
        <v>0.2</v>
      </c>
      <c r="G12" s="16" t="n">
        <v>72000</v>
      </c>
      <c r="H12" s="16" t="n">
        <v>5000</v>
      </c>
      <c r="I12" s="16" t="n">
        <v>0</v>
      </c>
      <c r="J12" s="17" t="n">
        <v>0.22</v>
      </c>
      <c r="K12" s="18" t="n">
        <f aca="false">IFERROR((G12-C12)/ABS(C12),"-")</f>
        <v>0.2</v>
      </c>
      <c r="L12" s="19" t="s">
        <v>100</v>
      </c>
    </row>
    <row r="13" customFormat="false" ht="16.5" hidden="false" customHeight="true" outlineLevel="0" collapsed="false">
      <c r="A13" s="20" t="s">
        <v>117</v>
      </c>
      <c r="B13" s="20" t="s">
        <v>118</v>
      </c>
      <c r="C13" s="21" t="n">
        <v>48000</v>
      </c>
      <c r="D13" s="21" t="n">
        <v>2000</v>
      </c>
      <c r="E13" s="21" t="n">
        <v>4800</v>
      </c>
      <c r="F13" s="22" t="n">
        <v>0.15</v>
      </c>
      <c r="G13" s="21" t="n">
        <v>48000</v>
      </c>
      <c r="H13" s="21" t="n">
        <v>2500</v>
      </c>
      <c r="I13" s="21" t="n">
        <v>4800</v>
      </c>
      <c r="J13" s="22" t="n">
        <v>0.18</v>
      </c>
      <c r="K13" s="23" t="n">
        <f aca="false">IFERROR((G13-C13)/ABS(C13),"-")</f>
        <v>0</v>
      </c>
      <c r="L13" s="25" t="s">
        <v>107</v>
      </c>
    </row>
    <row r="14" customFormat="false" ht="16.5" hidden="false" customHeight="true" outlineLevel="0" collapsed="false">
      <c r="A14" s="15" t="s">
        <v>119</v>
      </c>
      <c r="B14" s="15" t="s">
        <v>120</v>
      </c>
      <c r="C14" s="16" t="n">
        <v>84000</v>
      </c>
      <c r="D14" s="16" t="n">
        <v>6000</v>
      </c>
      <c r="E14" s="16" t="n">
        <v>0</v>
      </c>
      <c r="F14" s="17" t="n">
        <v>0.2</v>
      </c>
      <c r="G14" s="16" t="n">
        <v>96000</v>
      </c>
      <c r="H14" s="16" t="n">
        <v>8000</v>
      </c>
      <c r="I14" s="16" t="n">
        <v>0</v>
      </c>
      <c r="J14" s="17" t="n">
        <v>0.25</v>
      </c>
      <c r="K14" s="18" t="n">
        <f aca="false">IFERROR((G14-C14)/ABS(C14),"-")</f>
        <v>0.142857142857143</v>
      </c>
      <c r="L14" s="19" t="s">
        <v>100</v>
      </c>
    </row>
    <row r="15" customFormat="false" ht="16.5" hidden="false" customHeight="true" outlineLevel="0" collapsed="false">
      <c r="A15" s="20" t="s">
        <v>121</v>
      </c>
      <c r="B15" s="20" t="s">
        <v>102</v>
      </c>
      <c r="C15" s="21" t="n">
        <v>36000</v>
      </c>
      <c r="D15" s="21" t="n">
        <v>1500</v>
      </c>
      <c r="E15" s="21" t="n">
        <v>0</v>
      </c>
      <c r="F15" s="22" t="n">
        <v>0.2</v>
      </c>
      <c r="G15" s="21" t="n">
        <v>42000</v>
      </c>
      <c r="H15" s="21" t="n">
        <v>2000</v>
      </c>
      <c r="I15" s="21" t="n">
        <v>3600</v>
      </c>
      <c r="J15" s="22" t="n">
        <v>0.18</v>
      </c>
      <c r="K15" s="23" t="n">
        <f aca="false">IFERROR((G15-C15)/ABS(C15),"-")</f>
        <v>0.166666666666667</v>
      </c>
      <c r="L15" s="25" t="s">
        <v>107</v>
      </c>
    </row>
    <row r="16" customFormat="false" ht="16.5" hidden="false" customHeight="true" outlineLevel="0" collapsed="false">
      <c r="A16" s="15" t="s">
        <v>122</v>
      </c>
      <c r="B16" s="15" t="s">
        <v>111</v>
      </c>
      <c r="C16" s="16" t="n">
        <v>120000</v>
      </c>
      <c r="D16" s="16" t="n">
        <v>9000</v>
      </c>
      <c r="E16" s="16" t="n">
        <v>0</v>
      </c>
      <c r="F16" s="17" t="n">
        <v>0.2</v>
      </c>
      <c r="G16" s="16" t="n">
        <v>144000</v>
      </c>
      <c r="H16" s="16" t="n">
        <v>12000</v>
      </c>
      <c r="I16" s="16" t="n">
        <v>0</v>
      </c>
      <c r="J16" s="17" t="n">
        <v>0.25</v>
      </c>
      <c r="K16" s="18" t="n">
        <f aca="false">IFERROR((G16-C16)/ABS(C16),"-")</f>
        <v>0.2</v>
      </c>
      <c r="L16" s="19" t="s">
        <v>100</v>
      </c>
    </row>
    <row r="17" customFormat="false" ht="16.5" hidden="false" customHeight="true" outlineLevel="0" collapsed="false">
      <c r="A17" s="20" t="s">
        <v>123</v>
      </c>
      <c r="B17" s="20" t="s">
        <v>124</v>
      </c>
      <c r="C17" s="21" t="n">
        <v>72000</v>
      </c>
      <c r="D17" s="21" t="n">
        <v>5000</v>
      </c>
      <c r="E17" s="21" t="n">
        <v>0</v>
      </c>
      <c r="F17" s="22" t="n">
        <v>0.2</v>
      </c>
      <c r="G17" s="21" t="n">
        <v>84000</v>
      </c>
      <c r="H17" s="21" t="n">
        <v>6000</v>
      </c>
      <c r="I17" s="21" t="n">
        <v>0</v>
      </c>
      <c r="J17" s="22" t="n">
        <v>0.22</v>
      </c>
      <c r="K17" s="23" t="n">
        <f aca="false">IFERROR((G17-C17)/ABS(C17),"-")</f>
        <v>0.166666666666667</v>
      </c>
      <c r="L17" s="24" t="s">
        <v>100</v>
      </c>
    </row>
    <row r="18" customFormat="false" ht="16.5" hidden="false" customHeight="true" outlineLevel="0" collapsed="false">
      <c r="A18" s="15" t="s">
        <v>125</v>
      </c>
      <c r="B18" s="15" t="s">
        <v>118</v>
      </c>
      <c r="C18" s="16" t="n">
        <v>48000</v>
      </c>
      <c r="D18" s="16" t="n">
        <v>1500</v>
      </c>
      <c r="E18" s="16" t="n">
        <v>4800</v>
      </c>
      <c r="F18" s="17" t="n">
        <v>0.15</v>
      </c>
      <c r="G18" s="16" t="n">
        <v>48000</v>
      </c>
      <c r="H18" s="16" t="n">
        <v>2000</v>
      </c>
      <c r="I18" s="16" t="n">
        <v>4800</v>
      </c>
      <c r="J18" s="17" t="n">
        <v>0.18</v>
      </c>
      <c r="K18" s="18" t="n">
        <f aca="false">IFERROR((G18-C18)/ABS(C18),"-")</f>
        <v>0</v>
      </c>
      <c r="L18" s="26" t="s">
        <v>107</v>
      </c>
    </row>
    <row r="19" customFormat="false" ht="16.5" hidden="false" customHeight="true" outlineLevel="0" collapsed="false">
      <c r="A19" s="20" t="s">
        <v>126</v>
      </c>
      <c r="B19" s="20" t="s">
        <v>127</v>
      </c>
      <c r="C19" s="21" t="n">
        <v>36000</v>
      </c>
      <c r="D19" s="21" t="n">
        <v>1200</v>
      </c>
      <c r="E19" s="21" t="n">
        <v>0</v>
      </c>
      <c r="F19" s="22" t="n">
        <v>0.2</v>
      </c>
      <c r="G19" s="21" t="n">
        <v>42000</v>
      </c>
      <c r="H19" s="21" t="n">
        <v>1800</v>
      </c>
      <c r="I19" s="21" t="n">
        <v>0</v>
      </c>
      <c r="J19" s="22" t="n">
        <v>0.22</v>
      </c>
      <c r="K19" s="23" t="n">
        <f aca="false">IFERROR((G19-C19)/ABS(C19),"-")</f>
        <v>0.166666666666667</v>
      </c>
      <c r="L19" s="24" t="s">
        <v>100</v>
      </c>
    </row>
    <row r="20" customFormat="false" ht="16.5" hidden="false" customHeight="true" outlineLevel="0" collapsed="false">
      <c r="A20" s="15" t="s">
        <v>128</v>
      </c>
      <c r="B20" s="15" t="s">
        <v>129</v>
      </c>
      <c r="C20" s="16" t="n">
        <v>132000</v>
      </c>
      <c r="D20" s="16" t="n">
        <v>12000</v>
      </c>
      <c r="E20" s="16" t="n">
        <v>0</v>
      </c>
      <c r="F20" s="17" t="n">
        <v>0.2</v>
      </c>
      <c r="G20" s="16" t="n">
        <v>156000</v>
      </c>
      <c r="H20" s="16" t="n">
        <v>18000</v>
      </c>
      <c r="I20" s="16" t="n">
        <v>0</v>
      </c>
      <c r="J20" s="17" t="n">
        <v>0.28</v>
      </c>
      <c r="K20" s="18" t="n">
        <f aca="false">IFERROR((G20-C20)/ABS(C20),"-")</f>
        <v>0.181818181818182</v>
      </c>
      <c r="L20" s="19" t="s">
        <v>100</v>
      </c>
    </row>
    <row r="21" customFormat="false" ht="16.5" hidden="false" customHeight="true" outlineLevel="0" collapsed="false">
      <c r="A21" s="20" t="s">
        <v>130</v>
      </c>
      <c r="B21" s="20" t="s">
        <v>124</v>
      </c>
      <c r="C21" s="21" t="n">
        <v>60000</v>
      </c>
      <c r="D21" s="21" t="n">
        <v>3000</v>
      </c>
      <c r="E21" s="21" t="n">
        <v>0</v>
      </c>
      <c r="F21" s="22" t="n">
        <v>0.2</v>
      </c>
      <c r="G21" s="21" t="n">
        <v>72000</v>
      </c>
      <c r="H21" s="21" t="n">
        <v>4500</v>
      </c>
      <c r="I21" s="21" t="n">
        <v>6000</v>
      </c>
      <c r="J21" s="22" t="n">
        <v>0.18</v>
      </c>
      <c r="K21" s="23" t="n">
        <f aca="false">IFERROR((G21-C21)/ABS(C21),"-")</f>
        <v>0.2</v>
      </c>
      <c r="L21" s="25" t="s">
        <v>107</v>
      </c>
    </row>
    <row r="22" customFormat="false" ht="16.5" hidden="false" customHeight="true" outlineLevel="0" collapsed="false">
      <c r="A22" s="15" t="s">
        <v>131</v>
      </c>
      <c r="B22" s="15" t="s">
        <v>132</v>
      </c>
      <c r="C22" s="16" t="n">
        <v>96000</v>
      </c>
      <c r="D22" s="16" t="n">
        <v>7000</v>
      </c>
      <c r="E22" s="16" t="n">
        <v>0</v>
      </c>
      <c r="F22" s="17" t="n">
        <v>0.2</v>
      </c>
      <c r="G22" s="16" t="n">
        <v>108000</v>
      </c>
      <c r="H22" s="16" t="n">
        <v>9000</v>
      </c>
      <c r="I22" s="16" t="n">
        <v>0</v>
      </c>
      <c r="J22" s="17" t="n">
        <v>0.25</v>
      </c>
      <c r="K22" s="18" t="n">
        <f aca="false">IFERROR((G22-C22)/ABS(C22),"-")</f>
        <v>0.125</v>
      </c>
      <c r="L22" s="19" t="s">
        <v>100</v>
      </c>
    </row>
    <row r="23" customFormat="false" ht="16.5" hidden="false" customHeight="true" outlineLevel="0" collapsed="false">
      <c r="A23" s="20" t="s">
        <v>133</v>
      </c>
      <c r="B23" s="20" t="s">
        <v>102</v>
      </c>
      <c r="C23" s="21" t="n">
        <v>72000</v>
      </c>
      <c r="D23" s="21" t="n">
        <v>5000</v>
      </c>
      <c r="E23" s="21" t="n">
        <v>0</v>
      </c>
      <c r="F23" s="22" t="n">
        <v>0.2</v>
      </c>
      <c r="G23" s="21" t="n">
        <v>84000</v>
      </c>
      <c r="H23" s="21" t="n">
        <v>6000</v>
      </c>
      <c r="I23" s="21" t="n">
        <v>0</v>
      </c>
      <c r="J23" s="22" t="n">
        <v>0.25</v>
      </c>
      <c r="K23" s="23" t="n">
        <f aca="false">IFERROR((G23-C23)/ABS(C23),"-")</f>
        <v>0.166666666666667</v>
      </c>
      <c r="L23" s="24" t="s">
        <v>100</v>
      </c>
    </row>
    <row r="24" customFormat="false" ht="18" hidden="false" customHeight="true" outlineLevel="0" collapsed="false">
      <c r="A24" s="27" t="s">
        <v>134</v>
      </c>
      <c r="B24" s="28"/>
      <c r="C24" s="29" t="n">
        <f aca="false">SUM(C4:C23)</f>
        <v>1404000</v>
      </c>
      <c r="D24" s="29" t="n">
        <f aca="false">SUM(D4:D23)</f>
        <v>91400</v>
      </c>
      <c r="E24" s="29" t="n">
        <f aca="false">SUM(E4:E23)</f>
        <v>15600</v>
      </c>
      <c r="F24" s="30" t="n">
        <f aca="false">IFERROR((E24-D24)/ABS(C24),"-")</f>
        <v>-0.053988603988604</v>
      </c>
      <c r="G24" s="29" t="n">
        <f aca="false">SUM(G4:G23)</f>
        <v>1602000</v>
      </c>
      <c r="H24" s="29" t="n">
        <f aca="false">SUM(H4:H23)</f>
        <v>128000</v>
      </c>
      <c r="I24" s="29" t="n">
        <f aca="false">SUM(I4:I23)</f>
        <v>28600</v>
      </c>
      <c r="J24" s="30" t="n">
        <f aca="false">IFERROR((I24-H24)/ABS(G24),"-")</f>
        <v>-0.0620474406991261</v>
      </c>
      <c r="K24" s="30" t="n">
        <f aca="false">IFERROR((G24-C24)/ABS(C24),"-")</f>
        <v>0.141025641025641</v>
      </c>
      <c r="L24" s="31"/>
    </row>
  </sheetData>
  <mergeCells count="7">
    <mergeCell ref="A1:L1"/>
    <mergeCell ref="A2:A3"/>
    <mergeCell ref="B2:B3"/>
    <mergeCell ref="C2:F2"/>
    <mergeCell ref="G2:J2"/>
    <mergeCell ref="K2:K3"/>
    <mergeCell ref="L2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4A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136</v>
      </c>
      <c r="B2" s="3" t="s">
        <v>2</v>
      </c>
      <c r="C2" s="3" t="s">
        <v>4</v>
      </c>
      <c r="D2" s="3" t="s">
        <v>137</v>
      </c>
      <c r="E2" s="3" t="s">
        <v>5</v>
      </c>
      <c r="F2" s="3" t="s">
        <v>138</v>
      </c>
    </row>
    <row r="3" customFormat="false" ht="18" hidden="false" customHeight="true" outlineLevel="0" collapsed="false">
      <c r="A3" s="4" t="s">
        <v>139</v>
      </c>
      <c r="B3" s="4"/>
      <c r="C3" s="4"/>
      <c r="D3" s="4"/>
      <c r="E3" s="4"/>
      <c r="F3" s="4"/>
    </row>
    <row r="4" customFormat="false" ht="16.5" hidden="false" customHeight="true" outlineLevel="0" collapsed="false">
      <c r="A4" s="5" t="s">
        <v>140</v>
      </c>
      <c r="B4" s="6" t="s">
        <v>20</v>
      </c>
      <c r="C4" s="32" t="n">
        <f aca="false">'Customer Inputs'!C24</f>
        <v>1404000</v>
      </c>
      <c r="D4" s="8" t="n">
        <f aca="false">IFERROR(C4/C7,"-")</f>
        <v>0.938879229637555</v>
      </c>
      <c r="E4" s="32" t="n">
        <f aca="false">'Customer Inputs'!G24</f>
        <v>1602000</v>
      </c>
      <c r="F4" s="8" t="n">
        <f aca="false">IFERROR(E4/E7,"-")</f>
        <v>0.926011560693642</v>
      </c>
    </row>
    <row r="5" customFormat="false" ht="16.5" hidden="false" customHeight="true" outlineLevel="0" collapsed="false">
      <c r="A5" s="5" t="s">
        <v>141</v>
      </c>
      <c r="B5" s="6" t="s">
        <v>20</v>
      </c>
      <c r="C5" s="32" t="n">
        <f aca="false">'Customer Inputs'!D24</f>
        <v>91400</v>
      </c>
      <c r="D5" s="8" t="n">
        <f aca="false">IFERROR(C5/C7,"-")</f>
        <v>0.0611207703624448</v>
      </c>
      <c r="E5" s="32" t="n">
        <f aca="false">'Customer Inputs'!H24</f>
        <v>128000</v>
      </c>
      <c r="F5" s="8" t="n">
        <f aca="false">IFERROR(E5/E7,"-")</f>
        <v>0.0739884393063584</v>
      </c>
    </row>
    <row r="6" customFormat="false" ht="16.5" hidden="false" customHeight="true" outlineLevel="0" collapsed="false">
      <c r="A6" s="5" t="s">
        <v>142</v>
      </c>
      <c r="B6" s="6" t="s">
        <v>20</v>
      </c>
      <c r="C6" s="33" t="n">
        <f aca="false">C3*0.08</f>
        <v>0</v>
      </c>
      <c r="D6" s="8" t="n">
        <f aca="false">IFERROR(C6/C7,"-")</f>
        <v>0</v>
      </c>
      <c r="E6" s="33" t="n">
        <f aca="false">E3*0.09</f>
        <v>0</v>
      </c>
      <c r="F6" s="8" t="n">
        <f aca="false">IFERROR(E6/E7,"-")</f>
        <v>0</v>
      </c>
    </row>
    <row r="7" customFormat="false" ht="16.5" hidden="false" customHeight="true" outlineLevel="0" collapsed="false">
      <c r="A7" s="34" t="s">
        <v>143</v>
      </c>
      <c r="B7" s="28" t="s">
        <v>20</v>
      </c>
      <c r="C7" s="29" t="n">
        <f aca="false">SUM(C4:C6)</f>
        <v>1495400</v>
      </c>
      <c r="D7" s="35" t="n">
        <f aca="false">IFERROR(C7/C7,"-")</f>
        <v>1</v>
      </c>
      <c r="E7" s="29" t="n">
        <f aca="false">SUM(E4:E6)</f>
        <v>1730000</v>
      </c>
      <c r="F7" s="35" t="n">
        <f aca="false">IFERROR(E7/E7,"-")</f>
        <v>1</v>
      </c>
    </row>
    <row r="8" customFormat="false" ht="18" hidden="false" customHeight="true" outlineLevel="0" collapsed="false">
      <c r="A8" s="4" t="s">
        <v>144</v>
      </c>
      <c r="B8" s="4"/>
      <c r="C8" s="4"/>
      <c r="D8" s="4"/>
      <c r="E8" s="4"/>
      <c r="F8" s="4"/>
    </row>
    <row r="9" customFormat="false" ht="16.5" hidden="false" customHeight="true" outlineLevel="0" collapsed="false">
      <c r="A9" s="5" t="s">
        <v>145</v>
      </c>
      <c r="B9" s="6" t="s">
        <v>20</v>
      </c>
      <c r="C9" s="33" t="n">
        <f aca="false">C7*0.08</f>
        <v>119632</v>
      </c>
      <c r="D9" s="8" t="n">
        <f aca="false">IFERROR(C9/C7,"-")</f>
        <v>0.08</v>
      </c>
      <c r="E9" s="33" t="n">
        <f aca="false">E7*0.07</f>
        <v>121100</v>
      </c>
      <c r="F9" s="8" t="n">
        <f aca="false">IFERROR(E9/E7,"-")</f>
        <v>0.07</v>
      </c>
    </row>
    <row r="10" customFormat="false" ht="16.5" hidden="false" customHeight="true" outlineLevel="0" collapsed="false">
      <c r="A10" s="5" t="s">
        <v>146</v>
      </c>
      <c r="B10" s="6" t="s">
        <v>20</v>
      </c>
      <c r="C10" s="32" t="n">
        <f aca="false">'Input Mask'!D12*'Input Mask'!D13</f>
        <v>0</v>
      </c>
      <c r="D10" s="8" t="n">
        <f aca="false">IFERROR(C10/C7,"-")</f>
        <v>0</v>
      </c>
      <c r="E10" s="32" t="n">
        <f aca="false">'Input Mask'!E12*'Input Mask'!E13</f>
        <v>0</v>
      </c>
      <c r="F10" s="8" t="n">
        <f aca="false">IFERROR(E10/E7,"-")</f>
        <v>0</v>
      </c>
    </row>
    <row r="11" customFormat="false" ht="16.5" hidden="false" customHeight="true" outlineLevel="0" collapsed="false">
      <c r="A11" s="5" t="s">
        <v>147</v>
      </c>
      <c r="B11" s="6" t="s">
        <v>20</v>
      </c>
      <c r="C11" s="33" t="n">
        <f aca="false">C6*(1-0.22)</f>
        <v>0</v>
      </c>
      <c r="D11" s="8" t="n">
        <f aca="false">IFERROR(C11/C7,"-")</f>
        <v>0</v>
      </c>
      <c r="E11" s="33" t="n">
        <f aca="false">E6*(1-0.25)</f>
        <v>0</v>
      </c>
      <c r="F11" s="8" t="n">
        <f aca="false">IFERROR(E11/E7,"-")</f>
        <v>0</v>
      </c>
    </row>
    <row r="12" customFormat="false" ht="16.5" hidden="false" customHeight="true" outlineLevel="0" collapsed="false">
      <c r="A12" s="34" t="s">
        <v>148</v>
      </c>
      <c r="B12" s="28" t="s">
        <v>20</v>
      </c>
      <c r="C12" s="29" t="n">
        <f aca="false">SUM(C9:C11)</f>
        <v>119632</v>
      </c>
      <c r="D12" s="36"/>
      <c r="E12" s="29" t="n">
        <f aca="false">SUM(E9:E11)</f>
        <v>121100</v>
      </c>
      <c r="F12" s="36"/>
    </row>
    <row r="13" customFormat="false" ht="16.5" hidden="false" customHeight="true" outlineLevel="0" collapsed="false">
      <c r="A13" s="37" t="s">
        <v>149</v>
      </c>
      <c r="B13" s="38" t="s">
        <v>20</v>
      </c>
      <c r="C13" s="39" t="n">
        <f aca="false">C7-C12</f>
        <v>1375768</v>
      </c>
      <c r="D13" s="40" t="n">
        <f aca="false">IFERROR(C13/C7,"-")</f>
        <v>0.92</v>
      </c>
      <c r="E13" s="39" t="n">
        <f aca="false">E7-E12</f>
        <v>1608900</v>
      </c>
      <c r="F13" s="40" t="n">
        <f aca="false">IFERROR(E13/E7,"-")</f>
        <v>0.93</v>
      </c>
    </row>
    <row r="14" customFormat="false" ht="18" hidden="false" customHeight="true" outlineLevel="0" collapsed="false">
      <c r="A14" s="4" t="s">
        <v>150</v>
      </c>
      <c r="B14" s="4"/>
      <c r="C14" s="4"/>
      <c r="D14" s="4"/>
      <c r="E14" s="4"/>
      <c r="F14" s="4"/>
    </row>
    <row r="15" customFormat="false" ht="16.5" hidden="false" customHeight="true" outlineLevel="0" collapsed="false">
      <c r="A15" s="5" t="s">
        <v>151</v>
      </c>
      <c r="B15" s="6" t="s">
        <v>20</v>
      </c>
      <c r="C15" s="33" t="n">
        <f aca="false">C7*0.35</f>
        <v>523390</v>
      </c>
      <c r="D15" s="8" t="n">
        <f aca="false">IFERROR(C15/C7,"-")</f>
        <v>0.35</v>
      </c>
      <c r="E15" s="33" t="n">
        <f aca="false">E7*0.3</f>
        <v>519000</v>
      </c>
      <c r="F15" s="8" t="n">
        <f aca="false">IFERROR(E15/E7,"-")</f>
        <v>0.3</v>
      </c>
    </row>
    <row r="16" customFormat="false" ht="16.5" hidden="false" customHeight="true" outlineLevel="0" collapsed="false">
      <c r="A16" s="5" t="s">
        <v>152</v>
      </c>
      <c r="B16" s="6" t="s">
        <v>20</v>
      </c>
      <c r="C16" s="33" t="n">
        <f aca="false">C7*0.2</f>
        <v>299080</v>
      </c>
      <c r="D16" s="8" t="n">
        <f aca="false">IFERROR(C16/C7,"-")</f>
        <v>0.2</v>
      </c>
      <c r="E16" s="33" t="n">
        <f aca="false">E7*0.18</f>
        <v>311400</v>
      </c>
      <c r="F16" s="8" t="n">
        <f aca="false">IFERROR(E16/E7,"-")</f>
        <v>0.18</v>
      </c>
    </row>
    <row r="17" customFormat="false" ht="16.5" hidden="false" customHeight="true" outlineLevel="0" collapsed="false">
      <c r="A17" s="5" t="s">
        <v>153</v>
      </c>
      <c r="B17" s="6" t="s">
        <v>20</v>
      </c>
      <c r="C17" s="33" t="n">
        <f aca="false">C7*0.12</f>
        <v>179448</v>
      </c>
      <c r="D17" s="8" t="n">
        <f aca="false">IFERROR(C17/C7,"-")</f>
        <v>0.12</v>
      </c>
      <c r="E17" s="33" t="n">
        <f aca="false">E7*0.1</f>
        <v>173000</v>
      </c>
      <c r="F17" s="8" t="n">
        <f aca="false">IFERROR(E17/E7,"-")</f>
        <v>0.1</v>
      </c>
    </row>
    <row r="18" customFormat="false" ht="16.5" hidden="false" customHeight="true" outlineLevel="0" collapsed="false">
      <c r="A18" s="34" t="s">
        <v>154</v>
      </c>
      <c r="B18" s="28" t="s">
        <v>20</v>
      </c>
      <c r="C18" s="29" t="n">
        <f aca="false">SUM(C15:C17)</f>
        <v>1001918</v>
      </c>
      <c r="D18" s="36"/>
      <c r="E18" s="29" t="n">
        <f aca="false">SUM(E15:E17)</f>
        <v>1003400</v>
      </c>
      <c r="F18" s="36"/>
    </row>
    <row r="19" customFormat="false" ht="16.5" hidden="false" customHeight="true" outlineLevel="0" collapsed="false">
      <c r="A19" s="37" t="s">
        <v>155</v>
      </c>
      <c r="B19" s="38" t="s">
        <v>20</v>
      </c>
      <c r="C19" s="39" t="n">
        <f aca="false">C13-C18</f>
        <v>373850</v>
      </c>
      <c r="D19" s="40" t="n">
        <f aca="false">IFERROR(C19/C7,"-")</f>
        <v>0.25</v>
      </c>
      <c r="E19" s="39" t="n">
        <f aca="false">E13-E18</f>
        <v>605500</v>
      </c>
      <c r="F19" s="40" t="n">
        <f aca="false">IFERROR(E19/E7,"-")</f>
        <v>0.35</v>
      </c>
    </row>
    <row r="20" customFormat="false" ht="16.5" hidden="false" customHeight="true" outlineLevel="0" collapsed="false">
      <c r="A20" s="5" t="s">
        <v>156</v>
      </c>
      <c r="B20" s="6" t="s">
        <v>20</v>
      </c>
      <c r="C20" s="33" t="n">
        <f aca="false">C7*0.02</f>
        <v>29908</v>
      </c>
      <c r="D20" s="8" t="n">
        <f aca="false">IFERROR(C20/C7,"-")</f>
        <v>0.02</v>
      </c>
      <c r="E20" s="33" t="n">
        <f aca="false">E7*0.015</f>
        <v>25950</v>
      </c>
      <c r="F20" s="8" t="n">
        <f aca="false">IFERROR(E20/E7,"-")</f>
        <v>0.015</v>
      </c>
    </row>
    <row r="21" customFormat="false" ht="16.5" hidden="false" customHeight="true" outlineLevel="0" collapsed="false">
      <c r="A21" s="37" t="s">
        <v>157</v>
      </c>
      <c r="B21" s="38" t="s">
        <v>20</v>
      </c>
      <c r="C21" s="39" t="n">
        <f aca="false">C19-C20</f>
        <v>343942</v>
      </c>
      <c r="D21" s="40" t="n">
        <f aca="false">IFERROR(C21/C7,"-")</f>
        <v>0.23</v>
      </c>
      <c r="E21" s="39" t="n">
        <f aca="false">E19-E20</f>
        <v>579550</v>
      </c>
      <c r="F21" s="40" t="n">
        <f aca="false">IFERROR(E21/E7,"-")</f>
        <v>0.335</v>
      </c>
    </row>
    <row r="22" customFormat="false" ht="16.5" hidden="false" customHeight="true" outlineLevel="0" collapsed="false">
      <c r="A22" s="5" t="s">
        <v>158</v>
      </c>
      <c r="B22" s="6" t="s">
        <v>20</v>
      </c>
      <c r="C22" s="33" t="s">
        <v>159</v>
      </c>
      <c r="D22" s="8" t="n">
        <f aca="false">IFERROR(C22/C7,"-")</f>
        <v>0.0334358700013374</v>
      </c>
      <c r="E22" s="33" t="s">
        <v>160</v>
      </c>
      <c r="F22" s="8" t="n">
        <f aca="false">IFERROR(E22/E7,"-")</f>
        <v>0.023121387283237</v>
      </c>
    </row>
    <row r="23" customFormat="false" ht="16.5" hidden="false" customHeight="true" outlineLevel="0" collapsed="false">
      <c r="A23" s="41" t="s">
        <v>161</v>
      </c>
      <c r="B23" s="6" t="s">
        <v>20</v>
      </c>
      <c r="C23" s="42" t="n">
        <f aca="false">C21-C22</f>
        <v>293942</v>
      </c>
      <c r="D23" s="10" t="n">
        <f aca="false">IFERROR(C23/C7,"-")</f>
        <v>0.196564129998663</v>
      </c>
      <c r="E23" s="42" t="n">
        <f aca="false">E21-E22</f>
        <v>539550</v>
      </c>
      <c r="F23" s="10" t="n">
        <f aca="false">IFERROR(E23/E7,"-")</f>
        <v>0.311878612716763</v>
      </c>
    </row>
    <row r="24" customFormat="false" ht="16.5" hidden="false" customHeight="true" outlineLevel="0" collapsed="false">
      <c r="A24" s="5" t="s">
        <v>162</v>
      </c>
      <c r="B24" s="6" t="s">
        <v>20</v>
      </c>
      <c r="C24" s="33" t="n">
        <f aca="false">MAX(C23*0.21,0)</f>
        <v>61727.82</v>
      </c>
      <c r="D24" s="8" t="n">
        <f aca="false">IFERROR(C24/C7,"-")</f>
        <v>0.0412784672997191</v>
      </c>
      <c r="E24" s="33" t="n">
        <f aca="false">MAX(E23*0.21,0)</f>
        <v>113305.5</v>
      </c>
      <c r="F24" s="8" t="n">
        <f aca="false">IFERROR(E24/E7,"-")</f>
        <v>0.0654945086705202</v>
      </c>
    </row>
    <row r="25" customFormat="false" ht="16.5" hidden="false" customHeight="true" outlineLevel="0" collapsed="false">
      <c r="A25" s="34" t="s">
        <v>163</v>
      </c>
      <c r="B25" s="28" t="s">
        <v>20</v>
      </c>
      <c r="C25" s="29" t="n">
        <f aca="false">C23-C24</f>
        <v>232214.18</v>
      </c>
      <c r="D25" s="30" t="n">
        <f aca="false">IFERROR(C25/C7,"-")</f>
        <v>0.155285662698943</v>
      </c>
      <c r="E25" s="29" t="n">
        <f aca="false">E23-E24</f>
        <v>426244.5</v>
      </c>
      <c r="F25" s="30" t="n">
        <f aca="false">IFERROR(E25/E7,"-")</f>
        <v>0.246384104046243</v>
      </c>
    </row>
  </sheetData>
  <mergeCells count="4">
    <mergeCell ref="A1:F1"/>
    <mergeCell ref="A3:F3"/>
    <mergeCell ref="A8:F8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00"/>
    <pageSetUpPr fitToPage="fals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19" min="2" style="1" width="10"/>
  </cols>
  <sheetData>
    <row r="1" customFormat="false" ht="36" hidden="false" customHeight="true" outlineLevel="0" collapsed="false">
      <c r="A1" s="43" t="s">
        <v>164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3" customFormat="false" ht="21.75" hidden="false" customHeight="true" outlineLevel="0" collapsed="false">
      <c r="B3" s="44" t="s">
        <v>165</v>
      </c>
      <c r="C3" s="44"/>
      <c r="D3" s="44"/>
      <c r="F3" s="44" t="s">
        <v>166</v>
      </c>
      <c r="G3" s="44"/>
      <c r="H3" s="44"/>
      <c r="J3" s="44" t="s">
        <v>167</v>
      </c>
      <c r="K3" s="44"/>
      <c r="L3" s="44"/>
      <c r="N3" s="44" t="s">
        <v>168</v>
      </c>
      <c r="O3" s="44"/>
      <c r="P3" s="44"/>
    </row>
    <row r="4" customFormat="false" ht="15.75" hidden="false" customHeight="true" outlineLevel="0" collapsed="false">
      <c r="B4" s="45" t="s">
        <v>169</v>
      </c>
      <c r="C4" s="45"/>
      <c r="D4" s="45"/>
      <c r="F4" s="45" t="s">
        <v>170</v>
      </c>
      <c r="G4" s="45"/>
      <c r="H4" s="45"/>
      <c r="J4" s="45" t="s">
        <v>171</v>
      </c>
      <c r="K4" s="45"/>
      <c r="L4" s="45"/>
      <c r="N4" s="45" t="s">
        <v>172</v>
      </c>
      <c r="O4" s="45"/>
      <c r="P4" s="45"/>
    </row>
    <row r="5" customFormat="false" ht="19.5" hidden="false" customHeight="true" outlineLevel="0" collapsed="false">
      <c r="B5" s="46" t="s">
        <v>4</v>
      </c>
      <c r="C5" s="46"/>
      <c r="D5" s="46" t="s">
        <v>5</v>
      </c>
      <c r="F5" s="46" t="s">
        <v>4</v>
      </c>
      <c r="G5" s="46"/>
      <c r="H5" s="46" t="s">
        <v>5</v>
      </c>
      <c r="J5" s="46" t="s">
        <v>4</v>
      </c>
      <c r="K5" s="46"/>
      <c r="L5" s="46" t="s">
        <v>5</v>
      </c>
      <c r="N5" s="46" t="s">
        <v>4</v>
      </c>
      <c r="O5" s="46"/>
      <c r="P5" s="46" t="s">
        <v>5</v>
      </c>
    </row>
    <row r="6" customFormat="false" ht="30" hidden="false" customHeight="true" outlineLevel="0" collapsed="false">
      <c r="B6" s="47" t="n">
        <f aca="false">'P&amp;L'!C4</f>
        <v>1404000</v>
      </c>
      <c r="C6" s="47"/>
      <c r="D6" s="47" t="n">
        <f aca="false">'P&amp;L'!E4</f>
        <v>1602000</v>
      </c>
      <c r="F6" s="48" t="n">
        <f aca="false">IFERROR(('P&amp;L'!E7-'P&amp;L'!C7)/ABS('P&amp;L'!C7),"n/a")</f>
        <v>0.156881102046275</v>
      </c>
      <c r="G6" s="48"/>
      <c r="H6" s="48" t="s">
        <v>173</v>
      </c>
      <c r="J6" s="48" t="n">
        <f aca="false">IFERROR('P&amp;L'!C13/'P&amp;L'!C7,"n/a")</f>
        <v>0.92</v>
      </c>
      <c r="K6" s="48"/>
      <c r="L6" s="48" t="n">
        <f aca="false">IFERROR('P&amp;L'!E13/'P&amp;L'!E7,"n/a")</f>
        <v>0.93</v>
      </c>
      <c r="N6" s="48" t="n">
        <f aca="false">IFERROR('P&amp;L'!C19/'P&amp;L'!C7,"n/a")</f>
        <v>0.25</v>
      </c>
      <c r="O6" s="48"/>
      <c r="P6" s="48" t="n">
        <f aca="false">IFERROR('P&amp;L'!E19/'P&amp;L'!E7,"n/a")</f>
        <v>0.35</v>
      </c>
    </row>
    <row r="7" customFormat="false" ht="21.75" hidden="false" customHeight="true" outlineLevel="0" collapsed="false">
      <c r="B7" s="49" t="n">
        <f aca="false">IFERROR((D6-B6)/ABS(B6),"n/a")</f>
        <v>0.141025641025641</v>
      </c>
      <c r="C7" s="49"/>
      <c r="D7" s="49"/>
      <c r="F7" s="49" t="str">
        <f aca="false">IFERROR((H6-F6)/ABS(F6),"n/a")</f>
        <v>n/a</v>
      </c>
      <c r="G7" s="49"/>
      <c r="H7" s="49"/>
      <c r="J7" s="49" t="n">
        <f aca="false">IFERROR((L6-J6)/ABS(J6),"n/a")</f>
        <v>0.0108695652173913</v>
      </c>
      <c r="K7" s="49"/>
      <c r="L7" s="49"/>
      <c r="N7" s="49" t="n">
        <f aca="false">IFERROR((P6-N6)/ABS(N6),"n/a")</f>
        <v>0.4</v>
      </c>
      <c r="O7" s="49"/>
      <c r="P7" s="49"/>
    </row>
    <row r="10" customFormat="false" ht="15" hidden="false" customHeight="true" outlineLevel="0" collapsed="false">
      <c r="B10" s="44" t="s">
        <v>97</v>
      </c>
      <c r="C10" s="44"/>
      <c r="D10" s="44"/>
      <c r="F10" s="44" t="s">
        <v>174</v>
      </c>
      <c r="G10" s="44"/>
      <c r="H10" s="44"/>
      <c r="J10" s="44" t="s">
        <v>175</v>
      </c>
      <c r="K10" s="44"/>
      <c r="L10" s="44"/>
      <c r="N10" s="44" t="s">
        <v>176</v>
      </c>
      <c r="O10" s="44"/>
      <c r="P10" s="44"/>
    </row>
    <row r="11" customFormat="false" ht="15" hidden="false" customHeight="true" outlineLevel="0" collapsed="false">
      <c r="B11" s="45" t="s">
        <v>177</v>
      </c>
      <c r="C11" s="45"/>
      <c r="D11" s="45"/>
      <c r="F11" s="45" t="s">
        <v>178</v>
      </c>
      <c r="G11" s="45"/>
      <c r="H11" s="45"/>
      <c r="J11" s="45" t="s">
        <v>179</v>
      </c>
      <c r="K11" s="45"/>
      <c r="L11" s="45"/>
      <c r="N11" s="45" t="s">
        <v>180</v>
      </c>
      <c r="O11" s="45"/>
      <c r="P11" s="45"/>
    </row>
    <row r="12" customFormat="false" ht="15" hidden="false" customHeight="true" outlineLevel="0" collapsed="false">
      <c r="B12" s="46" t="s">
        <v>4</v>
      </c>
      <c r="C12" s="46"/>
      <c r="D12" s="46" t="s">
        <v>5</v>
      </c>
      <c r="F12" s="46" t="s">
        <v>4</v>
      </c>
      <c r="G12" s="46"/>
      <c r="H12" s="46" t="s">
        <v>5</v>
      </c>
      <c r="J12" s="46" t="s">
        <v>4</v>
      </c>
      <c r="K12" s="46"/>
      <c r="L12" s="46" t="s">
        <v>5</v>
      </c>
      <c r="N12" s="46" t="s">
        <v>4</v>
      </c>
      <c r="O12" s="46"/>
      <c r="P12" s="46" t="s">
        <v>5</v>
      </c>
    </row>
    <row r="13" customFormat="false" ht="15.75" hidden="false" customHeight="true" outlineLevel="0" collapsed="false">
      <c r="B13" s="48" t="n">
        <f aca="false">'Input Mask'!D9</f>
        <v>0.05</v>
      </c>
      <c r="C13" s="48"/>
      <c r="D13" s="48" t="n">
        <f aca="false">'Input Mask'!E9</f>
        <v>0.07</v>
      </c>
      <c r="F13" s="48" t="n">
        <f aca="false">'Input Mask'!D8</f>
        <v>22000</v>
      </c>
      <c r="G13" s="48"/>
      <c r="H13" s="48" t="n">
        <f aca="false">'Input Mask'!E8</f>
        <v>25000</v>
      </c>
      <c r="J13" s="47" t="n">
        <f aca="false">IFERROR('P&amp;L'!C15/MAX('Input Mask'!D3,1),0)</f>
        <v>523390</v>
      </c>
      <c r="K13" s="47"/>
      <c r="L13" s="47" t="n">
        <f aca="false">IFERROR('P&amp;L'!E15/MAX('Input Mask'!E3,1),0)</f>
        <v>519000</v>
      </c>
      <c r="N13" s="50" t="n">
        <f aca="false">IFERROR(('Input Mask'!D5/'Input Mask'!D8)/('P&amp;L'!C15/MAX('Input Mask'!D3,1)),"n/a")</f>
        <v>1.04215698705467E-008</v>
      </c>
      <c r="O13" s="50"/>
      <c r="P13" s="50" t="n">
        <f aca="false">IFERROR(('Input Mask'!E5/'Input Mask'!E8)/('P&amp;L'!E15/MAX('Input Mask'!E3,1)),"n/a")</f>
        <v>1.38728323699422E-008</v>
      </c>
    </row>
    <row r="14" customFormat="false" ht="15" hidden="false" customHeight="true" outlineLevel="0" collapsed="false">
      <c r="B14" s="49" t="n">
        <f aca="false">IFERROR((D13-B13)/ABS(B13),"n/a")</f>
        <v>0.4</v>
      </c>
      <c r="C14" s="49"/>
      <c r="D14" s="49"/>
      <c r="F14" s="49" t="n">
        <f aca="false">IFERROR((H13-F13)/ABS(F13),"n/a")</f>
        <v>0.136363636363636</v>
      </c>
      <c r="G14" s="49"/>
      <c r="H14" s="49"/>
      <c r="J14" s="49" t="n">
        <f aca="false">IFERROR((L13-J13)/ABS(J13),"n/a")</f>
        <v>-0.00838762681747825</v>
      </c>
      <c r="K14" s="49"/>
      <c r="L14" s="49"/>
      <c r="N14" s="49" t="n">
        <f aca="false">IFERROR((P13-N13)/ABS(N13),"n/a")</f>
        <v>0.331165317919075</v>
      </c>
      <c r="O14" s="49"/>
      <c r="P14" s="49"/>
    </row>
    <row r="18" customFormat="false" ht="21.75" hidden="false" customHeight="true" outlineLevel="0" collapsed="false">
      <c r="B18" s="51" t="s">
        <v>181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customFormat="false" ht="18" hidden="false" customHeight="true" outlineLevel="0" collapsed="false">
      <c r="B19" s="44" t="s">
        <v>182</v>
      </c>
      <c r="C19" s="44"/>
      <c r="D19" s="44" t="s">
        <v>183</v>
      </c>
      <c r="E19" s="44" t="s">
        <v>184</v>
      </c>
      <c r="F19" s="44" t="s">
        <v>185</v>
      </c>
      <c r="G19" s="44" t="s">
        <v>184</v>
      </c>
      <c r="H19" s="44" t="s">
        <v>186</v>
      </c>
    </row>
    <row r="20" customFormat="false" ht="18" hidden="false" customHeight="true" outlineLevel="0" collapsed="false">
      <c r="B20" s="52" t="s">
        <v>187</v>
      </c>
      <c r="C20" s="52"/>
      <c r="D20" s="53" t="n">
        <f aca="false">'P&amp;L'!C7</f>
        <v>1495400</v>
      </c>
      <c r="E20" s="35" t="str">
        <f aca="false">IFERROR(D20/C20,"-")</f>
        <v>-</v>
      </c>
      <c r="F20" s="53" t="n">
        <f aca="false">'P&amp;L'!E7</f>
        <v>1730000</v>
      </c>
      <c r="G20" s="35" t="str">
        <f aca="false">IFERROR(F20/E20,"-")</f>
        <v>-</v>
      </c>
      <c r="H20" s="30" t="n">
        <f aca="false">IFERROR((F20-D20)/ABS(D20),"-")</f>
        <v>0.156881102046275</v>
      </c>
      <c r="I20" s="54"/>
      <c r="J20" s="54"/>
      <c r="K20" s="54"/>
      <c r="L20" s="54"/>
      <c r="M20" s="54"/>
      <c r="N20" s="54"/>
    </row>
    <row r="21" customFormat="false" ht="18" hidden="false" customHeight="true" outlineLevel="0" collapsed="false">
      <c r="B21" s="55" t="s">
        <v>188</v>
      </c>
      <c r="C21" s="55"/>
      <c r="D21" s="56" t="n">
        <f aca="false">'P&amp;L'!C13</f>
        <v>1375768</v>
      </c>
      <c r="E21" s="23" t="str">
        <f aca="false">IFERROR(D21/C20,"-")</f>
        <v>-</v>
      </c>
      <c r="F21" s="56" t="n">
        <f aca="false">'P&amp;L'!E13</f>
        <v>1608900</v>
      </c>
      <c r="G21" s="23" t="str">
        <f aca="false">IFERROR(F21/E20,"-")</f>
        <v>-</v>
      </c>
      <c r="H21" s="23" t="n">
        <f aca="false">IFERROR((F21-D21)/ABS(D21),"-")</f>
        <v>0.169455896633735</v>
      </c>
      <c r="I21" s="57"/>
      <c r="J21" s="57"/>
      <c r="K21" s="57"/>
      <c r="L21" s="57"/>
      <c r="M21" s="57"/>
      <c r="N21" s="57"/>
    </row>
    <row r="22" customFormat="false" ht="18" hidden="false" customHeight="true" outlineLevel="0" collapsed="false">
      <c r="B22" s="58" t="s">
        <v>155</v>
      </c>
      <c r="C22" s="58"/>
      <c r="D22" s="59" t="n">
        <f aca="false">'P&amp;L'!C19</f>
        <v>373850</v>
      </c>
      <c r="E22" s="18" t="str">
        <f aca="false">IFERROR(D22/C20,"-")</f>
        <v>-</v>
      </c>
      <c r="F22" s="59" t="n">
        <f aca="false">'P&amp;L'!E19</f>
        <v>605500</v>
      </c>
      <c r="G22" s="18" t="str">
        <f aca="false">IFERROR(F22/E20,"-")</f>
        <v>-</v>
      </c>
      <c r="H22" s="18" t="n">
        <f aca="false">IFERROR((F22-D22)/ABS(D22),"-")</f>
        <v>0.619633542864785</v>
      </c>
      <c r="I22" s="60"/>
      <c r="J22" s="60"/>
      <c r="K22" s="60"/>
      <c r="L22" s="60"/>
      <c r="M22" s="60"/>
      <c r="N22" s="60"/>
    </row>
    <row r="23" customFormat="false" ht="18" hidden="false" customHeight="true" outlineLevel="0" collapsed="false">
      <c r="B23" s="55" t="s">
        <v>189</v>
      </c>
      <c r="C23" s="55"/>
      <c r="D23" s="56" t="n">
        <f aca="false">'P&amp;L'!C25</f>
        <v>232214.18</v>
      </c>
      <c r="E23" s="23" t="str">
        <f aca="false">IFERROR(D23/C20,"-")</f>
        <v>-</v>
      </c>
      <c r="F23" s="56" t="n">
        <f aca="false">'P&amp;L'!E25</f>
        <v>426244.5</v>
      </c>
      <c r="G23" s="23" t="str">
        <f aca="false">IFERROR(F23/E20,"-")</f>
        <v>-</v>
      </c>
      <c r="H23" s="23" t="n">
        <f aca="false">IFERROR((F23-D23)/ABS(D23),"-")</f>
        <v>0.835566200134721</v>
      </c>
      <c r="I23" s="57"/>
      <c r="J23" s="57"/>
      <c r="K23" s="57"/>
      <c r="L23" s="57"/>
      <c r="M23" s="57"/>
      <c r="N23" s="57"/>
    </row>
    <row r="26" customFormat="false" ht="21.75" hidden="false" customHeight="true" outlineLevel="0" collapsed="false">
      <c r="B26" s="51" t="s">
        <v>190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</row>
    <row r="27" customFormat="false" ht="18" hidden="false" customHeight="true" outlineLevel="0" collapsed="false">
      <c r="B27" s="61" t="s">
        <v>191</v>
      </c>
      <c r="C27" s="61"/>
      <c r="D27" s="44" t="s">
        <v>192</v>
      </c>
    </row>
    <row r="28" customFormat="false" ht="16.5" hidden="false" customHeight="true" outlineLevel="0" collapsed="false">
      <c r="B28" s="62" t="s">
        <v>193</v>
      </c>
      <c r="C28" s="62"/>
      <c r="D28" s="63" t="n">
        <f aca="false">'Customer Inputs'!C24</f>
        <v>1404000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customFormat="false" ht="16.5" hidden="false" customHeight="true" outlineLevel="0" collapsed="false">
      <c r="B29" s="64" t="s">
        <v>194</v>
      </c>
      <c r="C29" s="64"/>
      <c r="D29" s="65" t="n">
        <f aca="false">'Input Mask'!D3*'Input Mask'!D4</f>
        <v>0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customFormat="false" ht="16.5" hidden="false" customHeight="true" outlineLevel="0" collapsed="false">
      <c r="B30" s="64" t="s">
        <v>195</v>
      </c>
      <c r="C30" s="64"/>
      <c r="D30" s="66" t="n">
        <f aca="false">'Customer Inputs'!D24</f>
        <v>91400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</row>
    <row r="31" customFormat="false" ht="16.5" hidden="false" customHeight="true" outlineLevel="0" collapsed="false">
      <c r="B31" s="64" t="s">
        <v>196</v>
      </c>
      <c r="C31" s="64"/>
      <c r="D31" s="67" t="n">
        <f aca="false">-'Customer Inputs'!E24</f>
        <v>-15600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</row>
    <row r="32" customFormat="false" ht="16.5" hidden="false" customHeight="true" outlineLevel="0" collapsed="false">
      <c r="B32" s="68" t="s">
        <v>197</v>
      </c>
      <c r="C32" s="68"/>
      <c r="D32" s="63" t="n">
        <f aca="false">'Customer Inputs'!G24</f>
        <v>1602000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4" customFormat="false" ht="15" hidden="false" customHeight="true" outlineLevel="0" collapsed="false">
      <c r="B34" s="69" t="s">
        <v>198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</row>
  </sheetData>
  <mergeCells count="55">
    <mergeCell ref="A1:N1"/>
    <mergeCell ref="B3:D3"/>
    <mergeCell ref="F3:H3"/>
    <mergeCell ref="J3:L3"/>
    <mergeCell ref="N3:P3"/>
    <mergeCell ref="B4:D4"/>
    <mergeCell ref="F4:H4"/>
    <mergeCell ref="J4:L4"/>
    <mergeCell ref="N4:P4"/>
    <mergeCell ref="B5:C5"/>
    <mergeCell ref="F5:G5"/>
    <mergeCell ref="J5:K5"/>
    <mergeCell ref="N5:O5"/>
    <mergeCell ref="B6:C6"/>
    <mergeCell ref="F6:G6"/>
    <mergeCell ref="J6:K6"/>
    <mergeCell ref="N6:O6"/>
    <mergeCell ref="B7:D7"/>
    <mergeCell ref="F7:H7"/>
    <mergeCell ref="J7:L7"/>
    <mergeCell ref="N7:P7"/>
    <mergeCell ref="B10:D10"/>
    <mergeCell ref="F10:H10"/>
    <mergeCell ref="J10:L10"/>
    <mergeCell ref="N10:P10"/>
    <mergeCell ref="B11:D11"/>
    <mergeCell ref="F11:H11"/>
    <mergeCell ref="J11:L11"/>
    <mergeCell ref="N11:P11"/>
    <mergeCell ref="B12:C12"/>
    <mergeCell ref="F12:G12"/>
    <mergeCell ref="J12:K12"/>
    <mergeCell ref="N12:O12"/>
    <mergeCell ref="B13:C13"/>
    <mergeCell ref="F13:G13"/>
    <mergeCell ref="J13:K13"/>
    <mergeCell ref="N13:O13"/>
    <mergeCell ref="B14:D14"/>
    <mergeCell ref="F14:H14"/>
    <mergeCell ref="J14:L14"/>
    <mergeCell ref="N14:P14"/>
    <mergeCell ref="B18:N18"/>
    <mergeCell ref="B19:C19"/>
    <mergeCell ref="B20:C20"/>
    <mergeCell ref="B21:C21"/>
    <mergeCell ref="B22:C22"/>
    <mergeCell ref="B23:C23"/>
    <mergeCell ref="B26:N26"/>
    <mergeCell ref="B27:C27"/>
    <mergeCell ref="B28:C28"/>
    <mergeCell ref="B29:C29"/>
    <mergeCell ref="B30:C30"/>
    <mergeCell ref="B31:C31"/>
    <mergeCell ref="B32:C32"/>
    <mergeCell ref="B34:N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2026-04-03T21:46:42Z</dcterms:created>
  <dc:creator>openpyxl</dc:creator>
  <dc:description/>
  <dc:language>en-US</dc:language>
  <cp:lastModifiedBy/>
  <dcterms:modified xsi:type="dcterms:W3CDTF">2026-04-03T21:47:33Z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